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5.xml" ContentType="application/vnd.openxmlformats-officedocument.drawingml.chartshap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omments4.xml" ContentType="application/vnd.openxmlformats-officedocument.spreadsheetml.comments+xml"/>
  <Override PartName="/xl/pivotTables/pivotTable2.xml" ContentType="application/vnd.openxmlformats-officedocument.spreadsheetml.pivotTable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pivotTables/pivotTable3.xml" ContentType="application/vnd.openxmlformats-officedocument.spreadsheetml.pivotTable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tables/table1.xml" ContentType="application/vnd.openxmlformats-officedocument.spreadsheetml.table+xml"/>
  <Override PartName="/xl/comments5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ЭтаКнига" hidePivotFieldList="1"/>
  <bookViews>
    <workbookView xWindow="0" yWindow="0" windowWidth="14265" windowHeight="12510"/>
  </bookViews>
  <sheets>
    <sheet name="Итоговые данные" sheetId="15" r:id="rId1"/>
    <sheet name="СЧЕТА И КП ОКТЯБРЬ" sheetId="1" state="hidden" r:id="rId2"/>
    <sheet name="СЧЕТА И КП НОЯБРЬ" sheetId="4" state="hidden" r:id="rId3"/>
    <sheet name="СЧЕТА И КП ДЕКАБРЬ" sheetId="5" state="hidden" r:id="rId4"/>
    <sheet name="Лист7" sheetId="10" state="hidden" r:id="rId5"/>
    <sheet name="СУММА ДЕБИТОРКИ" sheetId="2" state="hidden" r:id="rId6"/>
    <sheet name="ДЕЙСВУЮЩИЕ КП" sheetId="3" state="hidden" r:id="rId7"/>
    <sheet name="Лист1" sheetId="11" state="hidden" r:id="rId8"/>
    <sheet name="Сумма оплаченых счетов" sheetId="14" state="hidden" r:id="rId9"/>
    <sheet name="ЗА ГОД" sheetId="6" state="hidden" r:id="rId10"/>
    <sheet name="Лист8" sheetId="17" state="hidden" r:id="rId11"/>
    <sheet name="Лист9" sheetId="18" state="hidden" r:id="rId12"/>
    <sheet name="ПОДГОТОВКА (2)" sheetId="16" state="hidden" r:id="rId13"/>
    <sheet name="Пояснения к отчету" sheetId="24" r:id="rId14"/>
    <sheet name="Подготовка" sheetId="21" r:id="rId15"/>
  </sheets>
  <definedNames>
    <definedName name="_xlnm._FilterDatabase" localSheetId="7" hidden="1">Лист1!$M$1:$O$1038</definedName>
  </definedNames>
  <calcPr calcId="144525" refMode="R1C1"/>
  <pivotCaches>
    <pivotCache cacheId="2" r:id="rId16"/>
    <pivotCache cacheId="3" r:id="rId17"/>
  </pivotCaches>
</workbook>
</file>

<file path=xl/calcChain.xml><?xml version="1.0" encoding="utf-8"?>
<calcChain xmlns="http://schemas.openxmlformats.org/spreadsheetml/2006/main">
  <c r="E5" i="21" l="1"/>
  <c r="E6" i="21"/>
  <c r="E4" i="21"/>
  <c r="D4" i="16" l="1"/>
  <c r="D3" i="16"/>
  <c r="D2" i="16"/>
  <c r="O1039" i="11" l="1"/>
  <c r="J1038" i="11"/>
  <c r="G1093" i="11"/>
  <c r="C6" i="6"/>
  <c r="E524" i="11"/>
  <c r="C1091" i="11"/>
  <c r="A795" i="11"/>
  <c r="B6" i="6"/>
  <c r="D6" i="6" l="1"/>
  <c r="T39" i="10" l="1"/>
  <c r="S40" i="10"/>
  <c r="M37" i="10" l="1"/>
  <c r="L41" i="10"/>
  <c r="G58" i="10"/>
  <c r="B58" i="10"/>
  <c r="A58" i="10"/>
  <c r="R20" i="5"/>
  <c r="O16" i="5"/>
  <c r="G7" i="1" l="1"/>
  <c r="F7" i="1"/>
  <c r="C7" i="5"/>
  <c r="B7" i="5"/>
  <c r="C7" i="4"/>
  <c r="B7" i="4"/>
  <c r="H22" i="3" l="1"/>
  <c r="C10" i="3"/>
  <c r="A156" i="2" l="1"/>
  <c r="B7" i="1" l="1"/>
  <c r="C7" i="1"/>
  <c r="D7" i="1"/>
</calcChain>
</file>

<file path=xl/comments1.xml><?xml version="1.0" encoding="utf-8"?>
<comments xmlns="http://schemas.openxmlformats.org/spreadsheetml/2006/main">
  <authors>
    <author>Панфилова Мария</author>
  </authors>
  <commentList>
    <comment ref="B4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В отгрузку 
+ 3 734 192. 33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4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В отгрузку 
+ 3 734 192. 33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6" authorId="0">
      <text>
        <r>
          <rPr>
            <b/>
            <sz val="9"/>
            <color indexed="81"/>
            <rFont val="Tahoma"/>
            <family val="2"/>
            <charset val="204"/>
          </rPr>
          <t>Стали счетами
6 790 247, 04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6" authorId="0">
      <text>
        <r>
          <rPr>
            <b/>
            <sz val="9"/>
            <color indexed="81"/>
            <rFont val="Tahoma"/>
            <family val="2"/>
            <charset val="204"/>
          </rPr>
          <t>Стали счетами
12 841 132.25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Продано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917 852, 45</t>
        </r>
      </text>
    </comment>
    <comment ref="F6" authorId="0">
      <text>
        <r>
          <rPr>
            <b/>
            <sz val="9"/>
            <color indexed="81"/>
            <rFont val="Tahoma"/>
            <family val="2"/>
            <charset val="204"/>
          </rPr>
          <t>Стали счетами
6 790 247, 04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H6" authorId="0">
      <text>
        <r>
          <rPr>
            <b/>
            <sz val="9"/>
            <color indexed="81"/>
            <rFont val="Tahoma"/>
            <family val="2"/>
            <charset val="204"/>
          </rPr>
          <t>Стали счетами
12 841 132.25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Продано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917 852, 45</t>
        </r>
      </text>
    </comment>
    <comment ref="B7" authorId="0">
      <text>
        <r>
          <rPr>
            <b/>
            <sz val="9"/>
            <color indexed="81"/>
            <rFont val="Tahoma"/>
            <family val="2"/>
            <charset val="204"/>
          </rPr>
          <t>Итого продано
6 795 660, 33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7" authorId="0">
      <text>
        <r>
          <rPr>
            <b/>
            <sz val="9"/>
            <color indexed="81"/>
            <rFont val="Tahoma"/>
            <family val="2"/>
            <charset val="204"/>
          </rPr>
          <t>Итого продано
9 248 975, 45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7" authorId="0">
      <text>
        <r>
          <rPr>
            <b/>
            <sz val="9"/>
            <color indexed="81"/>
            <rFont val="Tahoma"/>
            <family val="2"/>
            <charset val="204"/>
          </rPr>
          <t>Итого продано
6 795 660, 33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H7" authorId="0">
      <text>
        <r>
          <rPr>
            <b/>
            <sz val="9"/>
            <color indexed="81"/>
            <rFont val="Tahoma"/>
            <family val="2"/>
            <charset val="204"/>
          </rPr>
          <t>Итого продано
9 248 975, 45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Панфилова Мария</author>
  </authors>
  <commentList>
    <comment ref="C3" authorId="0">
      <text>
        <r>
          <rPr>
            <sz val="12"/>
            <color indexed="81"/>
            <rFont val="Tahoma"/>
            <family val="2"/>
            <charset val="204"/>
          </rPr>
          <t xml:space="preserve">ДАННЫЕ НЕ БРАЛИСЬ
</t>
        </r>
      </text>
    </comment>
    <comment ref="B4" authorId="0">
      <text>
        <r>
          <rPr>
            <sz val="12"/>
            <color indexed="81"/>
            <rFont val="Tahoma"/>
            <family val="2"/>
            <charset val="204"/>
          </rPr>
          <t>В отгрузку 
4936742,13+ 2939683,24= 7 876 425,35</t>
        </r>
        <r>
          <rPr>
            <b/>
            <sz val="9"/>
            <color indexed="81"/>
            <rFont val="Tahoma"/>
            <family val="2"/>
            <charset val="204"/>
          </rPr>
          <t xml:space="preserve">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4" authorId="0">
      <text>
        <r>
          <rPr>
            <sz val="12"/>
            <color indexed="81"/>
            <rFont val="Tahoma"/>
            <family val="2"/>
            <charset val="204"/>
          </rPr>
          <t>ДАННЫЕ НЕ БРАЛИСЬ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5" authorId="0">
      <text>
        <r>
          <rPr>
            <sz val="12"/>
            <color indexed="81"/>
            <rFont val="Tahoma"/>
            <family val="2"/>
            <charset val="204"/>
          </rPr>
          <t>СТАЛИ СЧЕТАМИ 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5" authorId="0">
      <text>
        <r>
          <rPr>
            <sz val="12"/>
            <color indexed="81"/>
            <rFont val="Tahoma"/>
            <family val="2"/>
            <charset val="204"/>
          </rPr>
          <t>СТАЛО СЧЕТАМИ 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5" authorId="0">
      <text>
        <r>
          <rPr>
            <sz val="12"/>
            <color indexed="81"/>
            <rFont val="Tahoma"/>
            <family val="2"/>
            <charset val="204"/>
          </rPr>
          <t>ДЕЙСТВУЮЩИМИ КП СТАЛИ 14 !!!!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6" authorId="0">
      <text>
        <r>
          <rPr>
            <sz val="12"/>
            <color indexed="81"/>
            <rFont val="Tahoma"/>
            <family val="2"/>
            <charset val="204"/>
          </rPr>
          <t>Действующее одно, заказ клиента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6" authorId="0">
      <text>
        <r>
          <rPr>
            <sz val="12"/>
            <color indexed="81"/>
            <rFont val="Tahoma"/>
            <family val="2"/>
            <charset val="204"/>
          </rPr>
          <t xml:space="preserve">Сумма с КП выставленных и ставших счетами в ноябре
</t>
        </r>
      </text>
    </comment>
    <comment ref="B7" authorId="0">
      <text>
        <r>
          <rPr>
            <sz val="12"/>
            <color indexed="81"/>
            <rFont val="Tahoma"/>
            <family val="2"/>
            <charset val="204"/>
          </rPr>
          <t>Итого продано
9 419 559,00 р</t>
        </r>
        <r>
          <rPr>
            <sz val="14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Панфилова Мария</author>
  </authors>
  <commentList>
    <comment ref="B4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В отгрузку 
+ 3 734 192. 33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6" authorId="0">
      <text>
        <r>
          <rPr>
            <b/>
            <sz val="9"/>
            <color indexed="81"/>
            <rFont val="Tahoma"/>
            <family val="2"/>
            <charset val="204"/>
          </rPr>
          <t>Стал счетом 1
1 013 461,70</t>
        </r>
      </text>
    </comment>
    <comment ref="D6" authorId="0">
      <text>
        <r>
          <rPr>
            <b/>
            <sz val="9"/>
            <color indexed="81"/>
            <rFont val="Tahoma"/>
            <family val="2"/>
            <charset val="204"/>
          </rPr>
          <t>Стали счетами
12 841 132.25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Продано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917 852, 45</t>
        </r>
      </text>
    </comment>
    <comment ref="B7" authorId="0">
      <text>
        <r>
          <rPr>
            <b/>
            <sz val="9"/>
            <color indexed="81"/>
            <rFont val="Tahoma"/>
            <family val="2"/>
            <charset val="204"/>
          </rPr>
          <t>Итого продано
6 795 660, 33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7" authorId="0">
      <text>
        <r>
          <rPr>
            <b/>
            <sz val="9"/>
            <color indexed="81"/>
            <rFont val="Tahoma"/>
            <family val="2"/>
            <charset val="204"/>
          </rPr>
          <t>Итого продано
9 248 975, 45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Панфилова Мария</author>
  </authors>
  <commentList>
    <comment ref="B2" authorId="0">
      <text>
        <r>
          <rPr>
            <sz val="9"/>
            <color indexed="81"/>
            <rFont val="Tahoma"/>
            <family val="2"/>
            <charset val="204"/>
          </rPr>
          <t xml:space="preserve">ЗА ГОД РАБОТЫ С 28.03.22 по 28.03.23
</t>
        </r>
      </text>
    </comment>
    <comment ref="C2" authorId="0">
      <text>
        <r>
          <rPr>
            <sz val="9"/>
            <color indexed="81"/>
            <rFont val="Tahoma"/>
            <family val="2"/>
            <charset val="204"/>
          </rPr>
          <t xml:space="preserve">ЗА ГОД С 01.01.21 по 31.12.21
</t>
        </r>
      </text>
    </comment>
    <comment ref="D2" authorId="0">
      <text>
        <r>
          <rPr>
            <sz val="9"/>
            <color indexed="81"/>
            <rFont val="Tahoma"/>
            <family val="2"/>
            <charset val="204"/>
          </rPr>
          <t>ЗА ГОД С 01.01.21 по 31.12.21</t>
        </r>
        <r>
          <rPr>
            <b/>
            <sz val="9"/>
            <color indexed="81"/>
            <rFont val="Tahoma"/>
            <family val="2"/>
            <charset val="204"/>
          </rPr>
          <t xml:space="preserve">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5" authorId="0">
      <text>
        <r>
          <rPr>
            <sz val="11"/>
            <color indexed="81"/>
            <rFont val="Tahoma"/>
            <family val="2"/>
            <charset val="204"/>
          </rPr>
          <t>СТАЛИ СЧЕТАМИ 73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5" authorId="0">
      <text>
        <r>
          <rPr>
            <sz val="12"/>
            <color indexed="81"/>
            <rFont val="Tahoma"/>
            <family val="2"/>
            <charset val="204"/>
          </rPr>
          <t>СТАЛИ СЧЕТАМИ 179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Панфилова Мария</author>
  </authors>
  <commentList>
    <comment ref="B2" authorId="0">
      <text>
        <r>
          <rPr>
            <sz val="9"/>
            <color indexed="81"/>
            <rFont val="Tahoma"/>
            <family val="2"/>
            <charset val="204"/>
          </rPr>
          <t xml:space="preserve">ЗА ГОД РАБОТЫ С 28.03.22 по 28.03.23
</t>
        </r>
      </text>
    </comment>
  </commentList>
</comments>
</file>

<file path=xl/sharedStrings.xml><?xml version="1.0" encoding="utf-8"?>
<sst xmlns="http://schemas.openxmlformats.org/spreadsheetml/2006/main" count="2454" uniqueCount="298">
  <si>
    <t xml:space="preserve">Поздняков </t>
  </si>
  <si>
    <t>Панфилова (МОП2)</t>
  </si>
  <si>
    <t>Чавкин (МОП3)</t>
  </si>
  <si>
    <t>СЧЕТА</t>
  </si>
  <si>
    <t>КП</t>
  </si>
  <si>
    <r>
      <t xml:space="preserve">СУММА счетов, </t>
    </r>
    <r>
      <rPr>
        <b/>
        <sz val="14"/>
        <color theme="1"/>
        <rFont val="Calibri"/>
        <family val="2"/>
        <charset val="204"/>
        <scheme val="minor"/>
      </rPr>
      <t>РУБ</t>
    </r>
  </si>
  <si>
    <t>СУММА КП, РУБ</t>
  </si>
  <si>
    <r>
      <t xml:space="preserve">ИТОГО СУММА       (КП + Счета), </t>
    </r>
    <r>
      <rPr>
        <b/>
        <sz val="14"/>
        <color theme="1"/>
        <rFont val="Calibri"/>
        <family val="2"/>
        <charset val="204"/>
        <scheme val="minor"/>
      </rPr>
      <t>РУБ</t>
    </r>
  </si>
  <si>
    <r>
      <t xml:space="preserve">СУММА счетов ОПЛАЧЕННЫХ, </t>
    </r>
    <r>
      <rPr>
        <b/>
        <sz val="14"/>
        <color theme="1"/>
        <rFont val="Calibri"/>
        <family val="2"/>
        <charset val="204"/>
        <scheme val="minor"/>
      </rPr>
      <t>РУБ</t>
    </r>
  </si>
  <si>
    <t>-</t>
  </si>
  <si>
    <t>06.10.2022</t>
  </si>
  <si>
    <t>Действует</t>
  </si>
  <si>
    <t>12.10.2022</t>
  </si>
  <si>
    <t>14.10.2022</t>
  </si>
  <si>
    <t>17.10.2022</t>
  </si>
  <si>
    <t>19.10.2022</t>
  </si>
  <si>
    <t>26.10.2022</t>
  </si>
  <si>
    <t>27.10.2022</t>
  </si>
  <si>
    <t>0000-002079</t>
  </si>
  <si>
    <t>04.10.2021</t>
  </si>
  <si>
    <t>05.10.2021</t>
  </si>
  <si>
    <t>0000-002085</t>
  </si>
  <si>
    <t>06.10.2021</t>
  </si>
  <si>
    <t>0000-002104</t>
  </si>
  <si>
    <t>0000-002101</t>
  </si>
  <si>
    <t>0000-002110</t>
  </si>
  <si>
    <t>07.10.2021</t>
  </si>
  <si>
    <t>0000-002126</t>
  </si>
  <si>
    <t>08.10.2021</t>
  </si>
  <si>
    <t>11.10.2021</t>
  </si>
  <si>
    <t>0000-002134</t>
  </si>
  <si>
    <t>0000-002135</t>
  </si>
  <si>
    <t>13.10.2021</t>
  </si>
  <si>
    <t>0000-002168</t>
  </si>
  <si>
    <t>14.10.2021</t>
  </si>
  <si>
    <t>0000-002176</t>
  </si>
  <si>
    <t>0000-002173</t>
  </si>
  <si>
    <t>0000-002209</t>
  </si>
  <si>
    <t>19.10.2021</t>
  </si>
  <si>
    <t>21.10.2021</t>
  </si>
  <si>
    <t>0000-002230</t>
  </si>
  <si>
    <t>0000-002255</t>
  </si>
  <si>
    <t>25.10.2021</t>
  </si>
  <si>
    <t>0000-002287</t>
  </si>
  <si>
    <t>29.10.2021</t>
  </si>
  <si>
    <t>219822, 8</t>
  </si>
  <si>
    <t>19 730 324, 24</t>
  </si>
  <si>
    <r>
      <t xml:space="preserve">СУММА счетов, </t>
    </r>
    <r>
      <rPr>
        <b/>
        <sz val="12"/>
        <color theme="1"/>
        <rFont val="Calibri"/>
        <family val="2"/>
        <charset val="204"/>
        <scheme val="minor"/>
      </rPr>
      <t>РУБ</t>
    </r>
  </si>
  <si>
    <r>
      <t xml:space="preserve">СУММА счетов ОПЛАЧЕННЫХ, </t>
    </r>
    <r>
      <rPr>
        <b/>
        <sz val="12"/>
        <color theme="1"/>
        <rFont val="Calibri"/>
        <family val="2"/>
        <charset val="204"/>
        <scheme val="minor"/>
      </rPr>
      <t>РУБ</t>
    </r>
  </si>
  <si>
    <r>
      <t xml:space="preserve">ИТОГО СУММА       (КП + Счета), </t>
    </r>
    <r>
      <rPr>
        <b/>
        <sz val="12"/>
        <color theme="1"/>
        <rFont val="Calibri"/>
        <family val="2"/>
        <charset val="204"/>
        <scheme val="minor"/>
      </rPr>
      <t>РУБ</t>
    </r>
  </si>
  <si>
    <t>Подготавливается</t>
  </si>
  <si>
    <t>Чавкин</t>
  </si>
  <si>
    <t>Количество СЧ+КП</t>
  </si>
  <si>
    <t>11.01.2021</t>
  </si>
  <si>
    <t>12.01.2021</t>
  </si>
  <si>
    <t>13.01.2021</t>
  </si>
  <si>
    <t>14.01.2021</t>
  </si>
  <si>
    <t>15.01.2021</t>
  </si>
  <si>
    <t>18.01.2021</t>
  </si>
  <si>
    <t>19.01.2021</t>
  </si>
  <si>
    <t>20.01.2021</t>
  </si>
  <si>
    <t>21.01.2021</t>
  </si>
  <si>
    <t>22.01.2021</t>
  </si>
  <si>
    <t>25.01.2021</t>
  </si>
  <si>
    <t>26.01.2021</t>
  </si>
  <si>
    <t>27.01.2021</t>
  </si>
  <si>
    <t>28.01.2021</t>
  </si>
  <si>
    <t>29.01.2021</t>
  </si>
  <si>
    <t>01.02.2021</t>
  </si>
  <si>
    <t>02.02.2021</t>
  </si>
  <si>
    <t>03.02.2021</t>
  </si>
  <si>
    <t>04.02.2021</t>
  </si>
  <si>
    <t>05.02.2021</t>
  </si>
  <si>
    <t>08.02.2021</t>
  </si>
  <si>
    <t>09.02.2021</t>
  </si>
  <si>
    <t>10.02.2021</t>
  </si>
  <si>
    <t>11.02.2021</t>
  </si>
  <si>
    <t>12.02.2021</t>
  </si>
  <si>
    <t>15.02.2021</t>
  </si>
  <si>
    <t>16.02.2021</t>
  </si>
  <si>
    <t>17.02.2021</t>
  </si>
  <si>
    <t>18.02.2021</t>
  </si>
  <si>
    <t>19.02.2021</t>
  </si>
  <si>
    <t>24.02.2021</t>
  </si>
  <si>
    <t>25.02.2021</t>
  </si>
  <si>
    <t>26.02.2021</t>
  </si>
  <si>
    <t>01.03.2021</t>
  </si>
  <si>
    <t>02.03.2021</t>
  </si>
  <si>
    <t>03.03.2021</t>
  </si>
  <si>
    <t>04.03.2021</t>
  </si>
  <si>
    <t>05.03.2021</t>
  </si>
  <si>
    <t>11.03.2021</t>
  </si>
  <si>
    <t>12.03.2021</t>
  </si>
  <si>
    <t>15.03.2021</t>
  </si>
  <si>
    <t>16.03.2021</t>
  </si>
  <si>
    <t>17.03.2021</t>
  </si>
  <si>
    <t>18.03.2021</t>
  </si>
  <si>
    <t>19.03.2021</t>
  </si>
  <si>
    <t>22.03.2021</t>
  </si>
  <si>
    <t>23.03.2021</t>
  </si>
  <si>
    <t>24.03.2021</t>
  </si>
  <si>
    <t>25.03.2021</t>
  </si>
  <si>
    <t>26.03.2021</t>
  </si>
  <si>
    <t>30.03.2021</t>
  </si>
  <si>
    <t>31.03.2021</t>
  </si>
  <si>
    <t>01.04.2021</t>
  </si>
  <si>
    <t>02.04.2021</t>
  </si>
  <si>
    <t>05.04.2021</t>
  </si>
  <si>
    <t>06.04.2021</t>
  </si>
  <si>
    <t>07.04.2021</t>
  </si>
  <si>
    <t>08.04.2021</t>
  </si>
  <si>
    <t>09.04.2021</t>
  </si>
  <si>
    <t>12.04.2021</t>
  </si>
  <si>
    <t>13.04.2021</t>
  </si>
  <si>
    <t>14.04.2021</t>
  </si>
  <si>
    <t>15.04.2021</t>
  </si>
  <si>
    <t>16.04.2021</t>
  </si>
  <si>
    <t>19.04.2021</t>
  </si>
  <si>
    <t>20.04.2021</t>
  </si>
  <si>
    <t>21.04.2021</t>
  </si>
  <si>
    <t>22.04.2021</t>
  </si>
  <si>
    <t>23.04.2021</t>
  </si>
  <si>
    <t>28.04.2021</t>
  </si>
  <si>
    <t>29.04.2021</t>
  </si>
  <si>
    <t>30.04.2021</t>
  </si>
  <si>
    <t>04.05.2021</t>
  </si>
  <si>
    <t>05.05.2021</t>
  </si>
  <si>
    <t>06.05.2021</t>
  </si>
  <si>
    <t>07.05.2021</t>
  </si>
  <si>
    <t>11.05.2021</t>
  </si>
  <si>
    <t>12.05.2021</t>
  </si>
  <si>
    <t>13.05.2021</t>
  </si>
  <si>
    <t>16.05.2021</t>
  </si>
  <si>
    <t>17.05.2021</t>
  </si>
  <si>
    <t>18.05.2021</t>
  </si>
  <si>
    <t>19.05.2021</t>
  </si>
  <si>
    <t>20.05.2021</t>
  </si>
  <si>
    <t>21.05.2021</t>
  </si>
  <si>
    <t>23.05.2021</t>
  </si>
  <si>
    <t>03.06.2021</t>
  </si>
  <si>
    <t>04.06.2021</t>
  </si>
  <si>
    <t>07.06.2021</t>
  </si>
  <si>
    <t>08.06.2021</t>
  </si>
  <si>
    <t>09.06.2021</t>
  </si>
  <si>
    <t>10.06.2021</t>
  </si>
  <si>
    <t>11.06.2021</t>
  </si>
  <si>
    <t>15.06.2021</t>
  </si>
  <si>
    <t>17.06.2021</t>
  </si>
  <si>
    <t>18.06.2021</t>
  </si>
  <si>
    <t>21.06.2021</t>
  </si>
  <si>
    <t>22.06.2021</t>
  </si>
  <si>
    <t>23.06.2021</t>
  </si>
  <si>
    <t>24.06.2021</t>
  </si>
  <si>
    <t>25.06.2021</t>
  </si>
  <si>
    <t>28.06.2021</t>
  </si>
  <si>
    <t>29.06.2021</t>
  </si>
  <si>
    <t>30.06.2021</t>
  </si>
  <si>
    <t>01.07.2021</t>
  </si>
  <si>
    <t>02.07.2021</t>
  </si>
  <si>
    <t>05.07.2021</t>
  </si>
  <si>
    <t>06.07.2021</t>
  </si>
  <si>
    <t>07.07.2021</t>
  </si>
  <si>
    <t>08.07.2021</t>
  </si>
  <si>
    <t>12.07.2021</t>
  </si>
  <si>
    <t>13.07.2021</t>
  </si>
  <si>
    <t>14.07.2021</t>
  </si>
  <si>
    <t>15.07.2021</t>
  </si>
  <si>
    <t>16.07.2021</t>
  </si>
  <si>
    <t>19.07.2021</t>
  </si>
  <si>
    <t>20.07.2021</t>
  </si>
  <si>
    <t>21.07.2021</t>
  </si>
  <si>
    <t>22.07.2021</t>
  </si>
  <si>
    <t>23.07.2021</t>
  </si>
  <si>
    <t>26.07.2021</t>
  </si>
  <si>
    <t>27.07.2021</t>
  </si>
  <si>
    <t>28.07.2021</t>
  </si>
  <si>
    <t>29.07.2021</t>
  </si>
  <si>
    <t>30.07.2021</t>
  </si>
  <si>
    <t>31.07.2021</t>
  </si>
  <si>
    <t>02.08.2021</t>
  </si>
  <si>
    <t>03.08.2021</t>
  </si>
  <si>
    <t>04.08.2021</t>
  </si>
  <si>
    <t>05.08.2021</t>
  </si>
  <si>
    <t>06.08.2021</t>
  </si>
  <si>
    <t>09.08.2021</t>
  </si>
  <si>
    <t>10.08.2021</t>
  </si>
  <si>
    <t>11.08.2021</t>
  </si>
  <si>
    <t>12.08.2021</t>
  </si>
  <si>
    <t>13.08.2021</t>
  </si>
  <si>
    <t>16.08.2021</t>
  </si>
  <si>
    <t>17.08.2021</t>
  </si>
  <si>
    <t>18.08.2021</t>
  </si>
  <si>
    <t>23.08.2021</t>
  </si>
  <si>
    <t>25.08.2021</t>
  </si>
  <si>
    <t>26.08.2021</t>
  </si>
  <si>
    <t>27.08.2021</t>
  </si>
  <si>
    <t>30.08.2021</t>
  </si>
  <si>
    <t>31.08.2021</t>
  </si>
  <si>
    <t>01.09.2021</t>
  </si>
  <si>
    <t>02.09.2021</t>
  </si>
  <si>
    <t>03.09.2021</t>
  </si>
  <si>
    <t>06.09.2021</t>
  </si>
  <si>
    <t>09.09.2021</t>
  </si>
  <si>
    <t>10.09.2021</t>
  </si>
  <si>
    <t>13.09.2021</t>
  </si>
  <si>
    <t>14.09.2021</t>
  </si>
  <si>
    <t>15.09.2021</t>
  </si>
  <si>
    <t>16.09.2021</t>
  </si>
  <si>
    <t>17.09.2021</t>
  </si>
  <si>
    <t>20.09.2021</t>
  </si>
  <si>
    <t>21.09.2021</t>
  </si>
  <si>
    <t>22.09.2021</t>
  </si>
  <si>
    <t>23.09.2021</t>
  </si>
  <si>
    <t>24.09.2021</t>
  </si>
  <si>
    <t>27.09.2021</t>
  </si>
  <si>
    <t>28.09.2021</t>
  </si>
  <si>
    <t>30.09.2021</t>
  </si>
  <si>
    <t>01.10.2021</t>
  </si>
  <si>
    <t>03.10.2021</t>
  </si>
  <si>
    <t>12.10.2021</t>
  </si>
  <si>
    <t>15.10.2021</t>
  </si>
  <si>
    <t>18.10.2021</t>
  </si>
  <si>
    <t>20.10.2021</t>
  </si>
  <si>
    <t>22.10.2021</t>
  </si>
  <si>
    <t>27.10.2021</t>
  </si>
  <si>
    <t>28.10.2021</t>
  </si>
  <si>
    <t>01.11.2021</t>
  </si>
  <si>
    <t>02.11.2021</t>
  </si>
  <si>
    <t>03.11.2021</t>
  </si>
  <si>
    <t>08.11.2021</t>
  </si>
  <si>
    <t>09.11.2021</t>
  </si>
  <si>
    <t>10.11.2021</t>
  </si>
  <si>
    <t>11.11.2021</t>
  </si>
  <si>
    <t>12.11.2021</t>
  </si>
  <si>
    <t>15.11.2021</t>
  </si>
  <si>
    <t>16.11.2021</t>
  </si>
  <si>
    <t>17.11.2021</t>
  </si>
  <si>
    <t>18.11.2021</t>
  </si>
  <si>
    <t>19.11.2021</t>
  </si>
  <si>
    <t>22.11.2021</t>
  </si>
  <si>
    <t>23.11.2021</t>
  </si>
  <si>
    <t>24.11.2021</t>
  </si>
  <si>
    <t>25.11.2021</t>
  </si>
  <si>
    <t>26.11.2021</t>
  </si>
  <si>
    <t>29.11.2021</t>
  </si>
  <si>
    <t>30.11.2021</t>
  </si>
  <si>
    <t>01.12.2021</t>
  </si>
  <si>
    <t>02.12.2021</t>
  </si>
  <si>
    <t>03.12.2021</t>
  </si>
  <si>
    <t>07.12.2021</t>
  </si>
  <si>
    <t>08.12.2021</t>
  </si>
  <si>
    <t>09.12.2021</t>
  </si>
  <si>
    <t>10.12.2021</t>
  </si>
  <si>
    <t>13.12.2021</t>
  </si>
  <si>
    <t>14.12.2021</t>
  </si>
  <si>
    <t>15.12.2021</t>
  </si>
  <si>
    <t>16.12.2021</t>
  </si>
  <si>
    <t>17.12.2021</t>
  </si>
  <si>
    <t>20.12.2021</t>
  </si>
  <si>
    <t>21.12.2021</t>
  </si>
  <si>
    <t>22.12.2021</t>
  </si>
  <si>
    <t>23.12.2021</t>
  </si>
  <si>
    <t>24.12.2021</t>
  </si>
  <si>
    <t>27.12.2021</t>
  </si>
  <si>
    <t>28.12.2021</t>
  </si>
  <si>
    <t>29.12.2021</t>
  </si>
  <si>
    <t>30.12.2021</t>
  </si>
  <si>
    <t>31.12.2021</t>
  </si>
  <si>
    <t>ФИО</t>
  </si>
  <si>
    <t>Количество выставленных счетов</t>
  </si>
  <si>
    <t>Сумма оплаченых счетов</t>
  </si>
  <si>
    <t>Количесто выставленных КП</t>
  </si>
  <si>
    <t>Количество КП и счетов</t>
  </si>
  <si>
    <t>Поздняков А.Л</t>
  </si>
  <si>
    <t>Чавкин Р.Р</t>
  </si>
  <si>
    <t>Панфилова М.В</t>
  </si>
  <si>
    <t>Названия строк</t>
  </si>
  <si>
    <t>Общий итог</t>
  </si>
  <si>
    <t>Сумма по полю Количество КП и счетов</t>
  </si>
  <si>
    <t>Сумма по полю Сумма оплаченых счетов</t>
  </si>
  <si>
    <t>Сумма по полю Количество выставленных счетов</t>
  </si>
  <si>
    <t>Количество выставленных КП</t>
  </si>
  <si>
    <t>Сумма счетов и КП</t>
  </si>
  <si>
    <t>Сумма продаж</t>
  </si>
  <si>
    <t>В данном отчете отражены данные, позволяющие оценить экономическую эффективность и загруженность сотрудников компании АЛСО филиала СПб.</t>
  </si>
  <si>
    <t>Экономическая эффективность оценивается по количеству выставленных и оплаченных счетов, загруженность МПС определяется по количеству выставленных счетов и коммерческих предложений. Данные получены из программы 1С предприятие.</t>
  </si>
  <si>
    <t>Время переработки</t>
  </si>
  <si>
    <t>Сумма оплаты</t>
  </si>
  <si>
    <t>Данные приведены по должностной категории менеджер по сопровождению (далее - МПС) за период с 1.01.21 по 31.12.21 (календарный год) и период работы нового сотрудника с 30.03.2022 по 30.03.2023 г.</t>
  </si>
  <si>
    <t>Сумма КП И СЧЕТОВ</t>
  </si>
  <si>
    <t>Сумма  КП</t>
  </si>
  <si>
    <t>Конверсия</t>
  </si>
  <si>
    <t>Кроме этого приведены данные рабочего времени и оплаты переработки МПС, что позволяет оценить экономию предприятия. Данные получены из KPI сотрудников за соответствующие периоды работы (данные не выводились в текущем отчете).</t>
  </si>
  <si>
    <t>Конверсия определялась, как  количество фактических клиентов (сумма оплаченых счетов) деленное на количество потенциальных клиентов (сумма выставленных коммерческих предложений) умноженное на 100%.</t>
  </si>
  <si>
    <t>Менеджер 2</t>
  </si>
  <si>
    <t>Менеджер3</t>
  </si>
  <si>
    <t>Менеджер 3</t>
  </si>
  <si>
    <t>Менеджер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</si>
</sst>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-* #,##0.00\ &quot;₽&quot;_-;\-* #,##0.00\ &quot;₽&quot;_-;_-* &quot;-&quot;??\ &quot;₽&quot;_-;_-@_-"/>
    <numFmt numFmtId="43" formatCode="_-* #,##0.00\ _₽_-;\-* #,##0.00\ _₽_-;_-* &quot;-&quot;??\ _₽_-;_-@_-"/>
    <numFmt numFmtId="164" formatCode="#,##0.00\ &quot;₽&quot;"/>
    <numFmt numFmtId="165" formatCode="0.00;[Red]0.00"/>
  </numFmts>
  <fonts count="39" x14ac:knownFonts="1">
    <font>
      <sz val="11"/>
      <color theme="1"/>
      <name val="Calibri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4"/>
      <color indexed="2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4"/>
      <color indexed="2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rgb="FFFF0000"/>
      <name val="Calibri"/>
      <family val="2"/>
      <charset val="204"/>
      <scheme val="minor"/>
    </font>
    <font>
      <sz val="8"/>
      <name val="Arial"/>
      <family val="2"/>
    </font>
    <font>
      <b/>
      <sz val="8"/>
      <color indexed="10"/>
      <name val="Microsoft Sans Serif"/>
      <family val="2"/>
    </font>
    <font>
      <sz val="8"/>
      <color indexed="63"/>
      <name val="Arial"/>
      <family val="2"/>
    </font>
    <font>
      <sz val="8"/>
      <color indexed="23"/>
      <name val="Arial"/>
      <family val="2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2"/>
      <color indexed="81"/>
      <name val="Tahoma"/>
      <family val="2"/>
      <charset val="204"/>
    </font>
    <font>
      <sz val="14"/>
      <color indexed="81"/>
      <name val="Tahoma"/>
      <family val="2"/>
      <charset val="204"/>
    </font>
    <font>
      <sz val="12"/>
      <color theme="1"/>
      <name val="Calibri"/>
      <family val="2"/>
      <charset val="204"/>
      <scheme val="minor"/>
    </font>
    <font>
      <sz val="12"/>
      <color indexed="2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indexed="2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color indexed="12"/>
      <name val="Microsoft Sans Serif"/>
      <family val="2"/>
    </font>
    <font>
      <sz val="8"/>
      <color indexed="22"/>
      <name val="Arial"/>
      <family val="2"/>
    </font>
    <font>
      <sz val="11"/>
      <color indexed="81"/>
      <name val="Tahoma"/>
      <family val="2"/>
      <charset val="204"/>
    </font>
    <font>
      <b/>
      <sz val="12"/>
      <color theme="6" tint="-0.249977111117893"/>
      <name val="Calibri"/>
      <family val="2"/>
      <charset val="204"/>
      <scheme val="minor"/>
    </font>
    <font>
      <b/>
      <sz val="12"/>
      <color theme="4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6"/>
      <color theme="1"/>
      <name val="Times New Roman"/>
      <family val="1"/>
      <charset val="204"/>
    </font>
    <font>
      <sz val="16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8">
    <xf numFmtId="0" fontId="0" fillId="0" borderId="0"/>
    <xf numFmtId="43" fontId="9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8" fillId="0" borderId="0"/>
  </cellStyleXfs>
  <cellXfs count="101">
    <xf numFmtId="0" fontId="0" fillId="0" borderId="0" xfId="0"/>
    <xf numFmtId="0" fontId="7" fillId="0" borderId="1" xfId="0" applyFont="1" applyBorder="1"/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164" fontId="11" fillId="0" borderId="1" xfId="1" applyNumberFormat="1" applyFont="1" applyBorder="1" applyAlignment="1">
      <alignment horizontal="center" vertical="center"/>
    </xf>
    <xf numFmtId="164" fontId="10" fillId="0" borderId="1" xfId="1" applyNumberFormat="1" applyFont="1" applyBorder="1" applyAlignment="1">
      <alignment horizontal="center" vertical="center"/>
    </xf>
    <xf numFmtId="164" fontId="12" fillId="0" borderId="1" xfId="1" applyNumberFormat="1" applyFont="1" applyBorder="1" applyAlignment="1">
      <alignment horizontal="center" vertical="center"/>
    </xf>
    <xf numFmtId="164" fontId="10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164" fontId="13" fillId="0" borderId="1" xfId="1" applyNumberFormat="1" applyFont="1" applyBorder="1" applyAlignment="1">
      <alignment horizontal="center" vertical="center"/>
    </xf>
    <xf numFmtId="164" fontId="12" fillId="0" borderId="1" xfId="0" applyNumberFormat="1" applyFont="1" applyBorder="1" applyAlignment="1">
      <alignment horizontal="center" vertical="center"/>
    </xf>
    <xf numFmtId="4" fontId="15" fillId="2" borderId="2" xfId="2" applyNumberFormat="1" applyFont="1" applyFill="1" applyBorder="1" applyAlignment="1">
      <alignment horizontal="right" vertical="top"/>
    </xf>
    <xf numFmtId="0" fontId="16" fillId="3" borderId="2" xfId="2" applyNumberFormat="1" applyFont="1" applyFill="1" applyBorder="1" applyAlignment="1">
      <alignment horizontal="right" vertical="top"/>
    </xf>
    <xf numFmtId="0" fontId="16" fillId="2" borderId="2" xfId="2" applyNumberFormat="1" applyFont="1" applyFill="1" applyBorder="1" applyAlignment="1">
      <alignment horizontal="right" vertical="top"/>
    </xf>
    <xf numFmtId="0" fontId="16" fillId="4" borderId="2" xfId="2" applyNumberFormat="1" applyFont="1" applyFill="1" applyBorder="1" applyAlignment="1">
      <alignment horizontal="right" vertical="top"/>
    </xf>
    <xf numFmtId="0" fontId="17" fillId="3" borderId="2" xfId="2" applyNumberFormat="1" applyFont="1" applyFill="1" applyBorder="1" applyAlignment="1">
      <alignment horizontal="right" vertical="top"/>
    </xf>
    <xf numFmtId="4" fontId="0" fillId="0" borderId="0" xfId="0" applyNumberFormat="1"/>
    <xf numFmtId="0" fontId="16" fillId="3" borderId="2" xfId="3" applyNumberFormat="1" applyFont="1" applyFill="1" applyBorder="1" applyAlignment="1">
      <alignment horizontal="left" vertical="top"/>
    </xf>
    <xf numFmtId="4" fontId="16" fillId="3" borderId="2" xfId="3" applyNumberFormat="1" applyFont="1" applyFill="1" applyBorder="1" applyAlignment="1">
      <alignment horizontal="right" vertical="top"/>
    </xf>
    <xf numFmtId="0" fontId="16" fillId="5" borderId="2" xfId="3" applyNumberFormat="1" applyFont="1" applyFill="1" applyBorder="1" applyAlignment="1">
      <alignment horizontal="left" vertical="top"/>
    </xf>
    <xf numFmtId="4" fontId="16" fillId="5" borderId="2" xfId="3" applyNumberFormat="1" applyFont="1" applyFill="1" applyBorder="1" applyAlignment="1">
      <alignment horizontal="right" vertical="top"/>
    </xf>
    <xf numFmtId="0" fontId="22" fillId="0" borderId="1" xfId="0" applyFont="1" applyBorder="1"/>
    <xf numFmtId="0" fontId="22" fillId="0" borderId="1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164" fontId="25" fillId="0" borderId="1" xfId="1" applyNumberFormat="1" applyFont="1" applyBorder="1" applyAlignment="1">
      <alignment horizontal="center" vertical="center"/>
    </xf>
    <xf numFmtId="164" fontId="24" fillId="0" borderId="1" xfId="1" applyNumberFormat="1" applyFont="1" applyBorder="1" applyAlignment="1">
      <alignment horizontal="center" vertical="center"/>
    </xf>
    <xf numFmtId="164" fontId="26" fillId="0" borderId="1" xfId="1" applyNumberFormat="1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 wrapText="1"/>
    </xf>
    <xf numFmtId="164" fontId="27" fillId="0" borderId="1" xfId="1" applyNumberFormat="1" applyFont="1" applyBorder="1" applyAlignment="1">
      <alignment horizontal="center" vertical="center"/>
    </xf>
    <xf numFmtId="164" fontId="26" fillId="0" borderId="1" xfId="0" applyNumberFormat="1" applyFont="1" applyBorder="1" applyAlignment="1">
      <alignment horizontal="center" vertical="center"/>
    </xf>
    <xf numFmtId="164" fontId="24" fillId="0" borderId="1" xfId="0" applyNumberFormat="1" applyFont="1" applyBorder="1" applyAlignment="1">
      <alignment horizontal="center" vertical="center"/>
    </xf>
    <xf numFmtId="165" fontId="0" fillId="0" borderId="0" xfId="0" applyNumberFormat="1"/>
    <xf numFmtId="2" fontId="0" fillId="0" borderId="0" xfId="0" applyNumberFormat="1"/>
    <xf numFmtId="0" fontId="28" fillId="0" borderId="1" xfId="0" applyFont="1" applyBorder="1" applyAlignment="1">
      <alignment horizontal="center" vertical="center"/>
    </xf>
    <xf numFmtId="0" fontId="0" fillId="0" borderId="0" xfId="0" applyNumberFormat="1"/>
    <xf numFmtId="0" fontId="6" fillId="0" borderId="0" xfId="0" applyFont="1" applyAlignment="1">
      <alignment vertical="center"/>
    </xf>
    <xf numFmtId="0" fontId="29" fillId="0" borderId="0" xfId="0" applyNumberFormat="1" applyFont="1"/>
    <xf numFmtId="44" fontId="0" fillId="0" borderId="0" xfId="0" applyNumberFormat="1"/>
    <xf numFmtId="2" fontId="6" fillId="0" borderId="0" xfId="0" applyNumberFormat="1" applyFont="1"/>
    <xf numFmtId="44" fontId="6" fillId="0" borderId="0" xfId="0" applyNumberFormat="1" applyFont="1"/>
    <xf numFmtId="4" fontId="16" fillId="3" borderId="2" xfId="4" applyNumberFormat="1" applyFont="1" applyFill="1" applyBorder="1" applyAlignment="1">
      <alignment horizontal="right" vertical="top"/>
    </xf>
    <xf numFmtId="4" fontId="0" fillId="0" borderId="0" xfId="0" applyNumberFormat="1" applyAlignment="1">
      <alignment horizontal="center" vertical="center"/>
    </xf>
    <xf numFmtId="0" fontId="16" fillId="3" borderId="2" xfId="4" applyNumberFormat="1" applyFont="1" applyFill="1" applyBorder="1" applyAlignment="1">
      <alignment horizontal="left" vertical="top"/>
    </xf>
    <xf numFmtId="4" fontId="0" fillId="0" borderId="3" xfId="0" applyNumberFormat="1" applyBorder="1" applyAlignment="1">
      <alignment horizontal="center" vertical="center"/>
    </xf>
    <xf numFmtId="4" fontId="16" fillId="2" borderId="2" xfId="5" applyNumberFormat="1" applyFont="1" applyFill="1" applyBorder="1" applyAlignment="1">
      <alignment horizontal="right" vertical="top"/>
    </xf>
    <xf numFmtId="4" fontId="30" fillId="2" borderId="2" xfId="5" applyNumberFormat="1" applyFont="1" applyFill="1" applyBorder="1" applyAlignment="1">
      <alignment horizontal="right" vertical="top"/>
    </xf>
    <xf numFmtId="1" fontId="16" fillId="2" borderId="2" xfId="5" applyNumberFormat="1" applyFont="1" applyFill="1" applyBorder="1" applyAlignment="1">
      <alignment horizontal="right" vertical="top"/>
    </xf>
    <xf numFmtId="0" fontId="16" fillId="2" borderId="2" xfId="5" applyNumberFormat="1" applyFont="1" applyFill="1" applyBorder="1" applyAlignment="1">
      <alignment horizontal="right" vertical="top"/>
    </xf>
    <xf numFmtId="4" fontId="16" fillId="3" borderId="2" xfId="5" applyNumberFormat="1" applyFont="1" applyFill="1" applyBorder="1" applyAlignment="1">
      <alignment horizontal="right" vertical="top"/>
    </xf>
    <xf numFmtId="0" fontId="16" fillId="3" borderId="2" xfId="5" applyNumberFormat="1" applyFont="1" applyFill="1" applyBorder="1" applyAlignment="1">
      <alignment horizontal="right" vertical="top"/>
    </xf>
    <xf numFmtId="4" fontId="15" fillId="2" borderId="2" xfId="5" applyNumberFormat="1" applyFont="1" applyFill="1" applyBorder="1" applyAlignment="1">
      <alignment horizontal="right" vertical="top"/>
    </xf>
    <xf numFmtId="1" fontId="16" fillId="3" borderId="2" xfId="5" applyNumberFormat="1" applyFont="1" applyFill="1" applyBorder="1" applyAlignment="1">
      <alignment horizontal="right" vertical="top"/>
    </xf>
    <xf numFmtId="4" fontId="16" fillId="4" borderId="2" xfId="5" applyNumberFormat="1" applyFont="1" applyFill="1" applyBorder="1" applyAlignment="1">
      <alignment horizontal="right" vertical="top"/>
    </xf>
    <xf numFmtId="0" fontId="16" fillId="4" borderId="2" xfId="5" applyNumberFormat="1" applyFont="1" applyFill="1" applyBorder="1" applyAlignment="1">
      <alignment horizontal="right" vertical="top"/>
    </xf>
    <xf numFmtId="4" fontId="31" fillId="2" borderId="2" xfId="5" applyNumberFormat="1" applyFont="1" applyFill="1" applyBorder="1" applyAlignment="1">
      <alignment horizontal="right" vertical="top"/>
    </xf>
    <xf numFmtId="0" fontId="31" fillId="3" borderId="2" xfId="5" applyNumberFormat="1" applyFont="1" applyFill="1" applyBorder="1" applyAlignment="1">
      <alignment horizontal="right" vertical="top"/>
    </xf>
    <xf numFmtId="4" fontId="30" fillId="2" borderId="2" xfId="6" applyNumberFormat="1" applyFont="1" applyFill="1" applyBorder="1" applyAlignment="1">
      <alignment horizontal="right" vertical="top"/>
    </xf>
    <xf numFmtId="0" fontId="16" fillId="3" borderId="2" xfId="6" applyNumberFormat="1" applyFont="1" applyFill="1" applyBorder="1" applyAlignment="1">
      <alignment horizontal="right" vertical="top"/>
    </xf>
    <xf numFmtId="0" fontId="31" fillId="3" borderId="2" xfId="6" applyNumberFormat="1" applyFont="1" applyFill="1" applyBorder="1" applyAlignment="1">
      <alignment horizontal="right" vertical="top"/>
    </xf>
    <xf numFmtId="0" fontId="17" fillId="3" borderId="2" xfId="6" applyNumberFormat="1" applyFont="1" applyFill="1" applyBorder="1" applyAlignment="1">
      <alignment horizontal="right" vertical="top"/>
    </xf>
    <xf numFmtId="0" fontId="31" fillId="4" borderId="2" xfId="6" applyNumberFormat="1" applyFont="1" applyFill="1" applyBorder="1" applyAlignment="1">
      <alignment horizontal="right" vertical="top"/>
    </xf>
    <xf numFmtId="2" fontId="30" fillId="2" borderId="2" xfId="6" applyNumberFormat="1" applyFont="1" applyFill="1" applyBorder="1" applyAlignment="1">
      <alignment horizontal="right" vertical="top"/>
    </xf>
    <xf numFmtId="0" fontId="16" fillId="4" borderId="2" xfId="6" applyNumberFormat="1" applyFont="1" applyFill="1" applyBorder="1" applyAlignment="1">
      <alignment horizontal="right" vertical="top"/>
    </xf>
    <xf numFmtId="0" fontId="16" fillId="2" borderId="2" xfId="6" applyNumberFormat="1" applyFont="1" applyFill="1" applyBorder="1" applyAlignment="1">
      <alignment horizontal="right" vertical="top"/>
    </xf>
    <xf numFmtId="4" fontId="16" fillId="3" borderId="2" xfId="6" applyNumberFormat="1" applyFont="1" applyFill="1" applyBorder="1" applyAlignment="1">
      <alignment horizontal="right" vertical="top"/>
    </xf>
    <xf numFmtId="4" fontId="16" fillId="2" borderId="2" xfId="6" applyNumberFormat="1" applyFont="1" applyFill="1" applyBorder="1" applyAlignment="1">
      <alignment horizontal="right" vertical="top"/>
    </xf>
    <xf numFmtId="4" fontId="16" fillId="4" borderId="2" xfId="6" applyNumberFormat="1" applyFont="1" applyFill="1" applyBorder="1" applyAlignment="1">
      <alignment horizontal="right" vertical="top"/>
    </xf>
    <xf numFmtId="0" fontId="16" fillId="3" borderId="2" xfId="6" applyNumberFormat="1" applyFont="1" applyFill="1" applyBorder="1" applyAlignment="1">
      <alignment horizontal="left" vertical="top"/>
    </xf>
    <xf numFmtId="4" fontId="5" fillId="0" borderId="0" xfId="0" applyNumberFormat="1" applyFont="1"/>
    <xf numFmtId="0" fontId="16" fillId="6" borderId="2" xfId="6" applyNumberFormat="1" applyFont="1" applyFill="1" applyBorder="1" applyAlignment="1">
      <alignment horizontal="left" vertical="top"/>
    </xf>
    <xf numFmtId="164" fontId="33" fillId="0" borderId="1" xfId="1" applyNumberFormat="1" applyFont="1" applyBorder="1" applyAlignment="1">
      <alignment horizontal="center" vertical="center"/>
    </xf>
    <xf numFmtId="164" fontId="34" fillId="0" borderId="1" xfId="1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35" fillId="0" borderId="1" xfId="0" applyFont="1" applyBorder="1" applyAlignment="1">
      <alignment horizontal="center" vertical="center"/>
    </xf>
    <xf numFmtId="164" fontId="26" fillId="0" borderId="5" xfId="1" applyNumberFormat="1" applyFont="1" applyBorder="1" applyAlignment="1">
      <alignment horizontal="center" vertic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164" fontId="26" fillId="0" borderId="11" xfId="1" applyNumberFormat="1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7" borderId="0" xfId="0" applyFill="1"/>
    <xf numFmtId="164" fontId="0" fillId="0" borderId="0" xfId="0" applyNumberFormat="1"/>
    <xf numFmtId="1" fontId="0" fillId="0" borderId="0" xfId="0" applyNumberFormat="1"/>
    <xf numFmtId="0" fontId="4" fillId="0" borderId="0" xfId="0" applyFont="1"/>
    <xf numFmtId="0" fontId="3" fillId="0" borderId="0" xfId="0" applyFont="1"/>
    <xf numFmtId="0" fontId="3" fillId="7" borderId="0" xfId="0" applyFont="1" applyFill="1"/>
    <xf numFmtId="0" fontId="36" fillId="0" borderId="0" xfId="0" applyFont="1" applyAlignment="1">
      <alignment vertical="center"/>
    </xf>
    <xf numFmtId="0" fontId="37" fillId="0" borderId="0" xfId="0" applyFont="1"/>
    <xf numFmtId="0" fontId="2" fillId="0" borderId="0" xfId="0" applyFont="1"/>
    <xf numFmtId="0" fontId="0" fillId="0" borderId="3" xfId="0" applyBorder="1"/>
    <xf numFmtId="164" fontId="0" fillId="0" borderId="3" xfId="0" applyNumberFormat="1" applyBorder="1"/>
    <xf numFmtId="0" fontId="0" fillId="0" borderId="13" xfId="0" applyBorder="1"/>
    <xf numFmtId="4" fontId="0" fillId="0" borderId="3" xfId="0" applyNumberFormat="1" applyBorder="1"/>
    <xf numFmtId="0" fontId="1" fillId="8" borderId="12" xfId="0" applyFont="1" applyFill="1" applyBorder="1"/>
    <xf numFmtId="0" fontId="1" fillId="0" borderId="12" xfId="0" applyFont="1" applyBorder="1"/>
    <xf numFmtId="0" fontId="1" fillId="0" borderId="0" xfId="0" applyFont="1"/>
  </cellXfs>
  <cellStyles count="8">
    <cellStyle name="Обычный" xfId="0" builtinId="0"/>
    <cellStyle name="Обычный 2" xfId="7"/>
    <cellStyle name="Обычный_ДЕЙСВУЮЩИЕ КП" xfId="3"/>
    <cellStyle name="Обычный_Лист1" xfId="6"/>
    <cellStyle name="Обычный_Лист7" xfId="5"/>
    <cellStyle name="Обычный_СУММА ДЕБИТОРКИ" xfId="2"/>
    <cellStyle name="Обычный_СЧЕТА И КП ДЕКАБРЬ" xfId="4"/>
    <cellStyle name="Финансовый" xfId="1" builtinId="3"/>
  </cellStyles>
  <dxfs count="19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theme="4" tint="0.39997558519241921"/>
        </left>
        <right style="thin">
          <color indexed="64"/>
        </right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&quot;₽&quot;"/>
    </dxf>
    <dxf>
      <numFmt numFmtId="164" formatCode="#,##0.00\ &quot;₽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64" formatCode="#,##0.00\ &quot;₽&quot;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auto="1"/>
        </bottom>
      </border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view3D>
      <c:rotX val="15"/>
      <c:rotY val="20"/>
      <c:rAngAx val="0"/>
      <c:perspective val="30"/>
    </c:view3D>
    <c:floor>
      <c:thickness val="0"/>
      <c:spPr>
        <a:pattFill prst="pct5">
          <a:fgClr>
            <a:srgbClr val="FF0000"/>
          </a:fgClr>
          <a:bgClr>
            <a:schemeClr val="bg1"/>
          </a:bgClr>
        </a:pattFill>
        <a:ln w="22225">
          <a:solidFill>
            <a:schemeClr val="tx1"/>
          </a:solidFill>
        </a:ln>
      </c:spPr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37953984620583"/>
          <c:y val="0.1053361491447672"/>
          <c:w val="0.76242957130358702"/>
          <c:h val="0.82077826417346145"/>
        </c:manualLayout>
      </c:layout>
      <c:bar3D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92D050"/>
              </a:solidFill>
            </c:spPr>
          </c:dPt>
          <c:dPt>
            <c:idx val="1"/>
            <c:invertIfNegative val="0"/>
            <c:bubble3D val="0"/>
            <c:spPr>
              <a:solidFill>
                <a:srgbClr val="FF0000"/>
              </a:solidFill>
            </c:spPr>
          </c:dPt>
          <c:dPt>
            <c:idx val="2"/>
            <c:invertIfNegative val="0"/>
            <c:bubble3D val="0"/>
            <c:spPr>
              <a:solidFill>
                <a:srgbClr val="FFFF00"/>
              </a:solidFill>
            </c:spPr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Подготовка!$B$4:$B$6</c:f>
              <c:strCache>
                <c:ptCount val="3"/>
                <c:pt idx="0">
                  <c:v>Менеджер 1</c:v>
                </c:pt>
                <c:pt idx="1">
                  <c:v>Менеджер 2</c:v>
                </c:pt>
                <c:pt idx="2">
                  <c:v>Менеджер3</c:v>
                </c:pt>
              </c:strCache>
            </c:strRef>
          </c:cat>
          <c:val>
            <c:numRef>
              <c:f>Подготовка!$C$4:$C$6</c:f>
              <c:numCache>
                <c:formatCode>General</c:formatCode>
                <c:ptCount val="3"/>
                <c:pt idx="0">
                  <c:v>1366</c:v>
                </c:pt>
                <c:pt idx="1">
                  <c:v>523</c:v>
                </c:pt>
                <c:pt idx="2">
                  <c:v>793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8"/>
        <c:gapDepth val="190"/>
        <c:shape val="box"/>
        <c:axId val="163743744"/>
        <c:axId val="163611200"/>
        <c:axId val="0"/>
      </c:bar3DChart>
      <c:catAx>
        <c:axId val="16374374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400"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ru-RU"/>
          </a:p>
        </c:txPr>
        <c:crossAx val="163611200"/>
        <c:crosses val="autoZero"/>
        <c:auto val="1"/>
        <c:lblAlgn val="ctr"/>
        <c:lblOffset val="100"/>
        <c:noMultiLvlLbl val="0"/>
      </c:catAx>
      <c:valAx>
        <c:axId val="163611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37437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  <c:perspective val="30"/>
    </c:view3D>
    <c:floor>
      <c:thickness val="0"/>
      <c:spPr>
        <a:pattFill prst="pct5">
          <a:fgClr>
            <a:srgbClr val="FF0000"/>
          </a:fgClr>
          <a:bgClr>
            <a:schemeClr val="bg1"/>
          </a:bgClr>
        </a:pattFill>
        <a:ln w="28575">
          <a:solidFill>
            <a:schemeClr val="tx1"/>
          </a:solidFill>
        </a:ln>
      </c:spPr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725661268626006"/>
          <c:y val="0.13912620297462816"/>
          <c:w val="0.86827259240816224"/>
          <c:h val="0.74882144940215811"/>
        </c:manualLayout>
      </c:layout>
      <c:bar3D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92D050"/>
              </a:solidFill>
            </c:spPr>
          </c:dPt>
          <c:dPt>
            <c:idx val="1"/>
            <c:invertIfNegative val="0"/>
            <c:bubble3D val="0"/>
            <c:spPr>
              <a:solidFill>
                <a:srgbClr val="FF0000"/>
              </a:solidFill>
            </c:spPr>
          </c:dPt>
          <c:dPt>
            <c:idx val="2"/>
            <c:invertIfNegative val="0"/>
            <c:bubble3D val="0"/>
            <c:spPr>
              <a:solidFill>
                <a:srgbClr val="FFFF00"/>
              </a:solidFill>
            </c:spPr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Подготовка!$B$4:$B$6</c:f>
              <c:strCache>
                <c:ptCount val="3"/>
                <c:pt idx="0">
                  <c:v>Менеджер 1</c:v>
                </c:pt>
                <c:pt idx="1">
                  <c:v>Менеджер 2</c:v>
                </c:pt>
                <c:pt idx="2">
                  <c:v>Менеджер3</c:v>
                </c:pt>
              </c:strCache>
            </c:strRef>
          </c:cat>
          <c:val>
            <c:numRef>
              <c:f>Подготовка!$D$4:$D$6</c:f>
              <c:numCache>
                <c:formatCode>General</c:formatCode>
                <c:ptCount val="3"/>
                <c:pt idx="0">
                  <c:v>484</c:v>
                </c:pt>
                <c:pt idx="1">
                  <c:v>631</c:v>
                </c:pt>
                <c:pt idx="2">
                  <c:v>1037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8"/>
        <c:shape val="box"/>
        <c:axId val="164177920"/>
        <c:axId val="163612928"/>
        <c:axId val="0"/>
      </c:bar3DChart>
      <c:catAx>
        <c:axId val="1641779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600"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ru-RU"/>
          </a:p>
        </c:txPr>
        <c:crossAx val="163612928"/>
        <c:crosses val="autoZero"/>
        <c:auto val="1"/>
        <c:lblAlgn val="ctr"/>
        <c:lblOffset val="100"/>
        <c:noMultiLvlLbl val="0"/>
      </c:catAx>
      <c:valAx>
        <c:axId val="163612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4177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Сумма</a:t>
            </a:r>
            <a:r>
              <a:rPr lang="ru-RU" baseline="0"/>
              <a:t> счетов и КП</a:t>
            </a:r>
            <a:endParaRPr lang="ru-RU"/>
          </a:p>
        </c:rich>
      </c:tx>
      <c:layout>
        <c:manualLayout>
          <c:xMode val="edge"/>
          <c:yMode val="edge"/>
          <c:x val="0.37264680687759982"/>
          <c:y val="2.9198453350237241E-2"/>
        </c:manualLayout>
      </c:layout>
      <c:overlay val="0"/>
    </c:title>
    <c:autoTitleDeleted val="0"/>
    <c:view3D>
      <c:rotX val="15"/>
      <c:rotY val="20"/>
      <c:rAngAx val="0"/>
      <c:perspective val="30"/>
    </c:view3D>
    <c:floor>
      <c:thickness val="0"/>
      <c:spPr>
        <a:pattFill prst="pct5">
          <a:fgClr>
            <a:srgbClr val="FF0000"/>
          </a:fgClr>
          <a:bgClr>
            <a:schemeClr val="bg1"/>
          </a:bgClr>
        </a:pattFill>
        <a:ln w="31750">
          <a:solidFill>
            <a:schemeClr val="tx1"/>
          </a:solidFill>
        </a:ln>
      </c:spPr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015501326041816"/>
          <c:y val="0.12481925455355648"/>
          <c:w val="0.86928937007874019"/>
          <c:h val="0.77719783029570155"/>
        </c:manualLayout>
      </c:layout>
      <c:bar3D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92D050"/>
              </a:solidFill>
            </c:spPr>
          </c:dPt>
          <c:dPt>
            <c:idx val="1"/>
            <c:invertIfNegative val="0"/>
            <c:bubble3D val="0"/>
            <c:spPr>
              <a:solidFill>
                <a:srgbClr val="FF0000"/>
              </a:solidFill>
            </c:spPr>
          </c:dPt>
          <c:dPt>
            <c:idx val="2"/>
            <c:invertIfNegative val="0"/>
            <c:bubble3D val="0"/>
            <c:spPr>
              <a:solidFill>
                <a:srgbClr val="FFFF00"/>
              </a:solidFill>
            </c:spPr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Подготовка!$B$4:$B$6</c:f>
              <c:strCache>
                <c:ptCount val="3"/>
                <c:pt idx="0">
                  <c:v>Менеджер 1</c:v>
                </c:pt>
                <c:pt idx="1">
                  <c:v>Менеджер 2</c:v>
                </c:pt>
                <c:pt idx="2">
                  <c:v>Менеджер3</c:v>
                </c:pt>
              </c:strCache>
            </c:strRef>
          </c:cat>
          <c:val>
            <c:numRef>
              <c:f>Подготовка!$E$4:$E$6</c:f>
              <c:numCache>
                <c:formatCode>General</c:formatCode>
                <c:ptCount val="3"/>
                <c:pt idx="0">
                  <c:v>1850</c:v>
                </c:pt>
                <c:pt idx="1">
                  <c:v>1154</c:v>
                </c:pt>
                <c:pt idx="2">
                  <c:v>1830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8"/>
        <c:shape val="box"/>
        <c:axId val="164178432"/>
        <c:axId val="163615232"/>
        <c:axId val="0"/>
      </c:bar3DChart>
      <c:catAx>
        <c:axId val="1641784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1600"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ru-RU"/>
          </a:p>
        </c:txPr>
        <c:crossAx val="163615232"/>
        <c:crosses val="autoZero"/>
        <c:auto val="1"/>
        <c:lblAlgn val="ctr"/>
        <c:lblOffset val="100"/>
        <c:noMultiLvlLbl val="0"/>
      </c:catAx>
      <c:valAx>
        <c:axId val="163615232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641784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spPr>
            <a:solidFill>
              <a:srgbClr val="FF0000"/>
            </a:solidFill>
            <a:ln cap="rnd">
              <a:bevel/>
            </a:ln>
            <a:effectLst>
              <a:glow rad="63500">
                <a:schemeClr val="accent1">
                  <a:satMod val="175000"/>
                  <a:alpha val="40000"/>
                </a:schemeClr>
              </a:glow>
            </a:effectLst>
          </c:spPr>
          <c:explosion val="3"/>
          <c:dPt>
            <c:idx val="0"/>
            <c:bubble3D val="0"/>
            <c:spPr>
              <a:solidFill>
                <a:srgbClr val="92D050"/>
              </a:solidFill>
              <a:ln cap="rnd">
                <a:bevel/>
              </a:ln>
              <a:effectLst>
                <a:glow rad="63500">
                  <a:schemeClr val="accent1">
                    <a:satMod val="175000"/>
                    <a:alpha val="40000"/>
                  </a:schemeClr>
                </a:glow>
              </a:effectLst>
            </c:spPr>
          </c:dPt>
          <c:dPt>
            <c:idx val="2"/>
            <c:bubble3D val="0"/>
            <c:spPr>
              <a:solidFill>
                <a:srgbClr val="FFFF00"/>
              </a:solidFill>
              <a:ln cap="rnd">
                <a:bevel/>
              </a:ln>
              <a:effectLst>
                <a:glow rad="63500">
                  <a:schemeClr val="accent1">
                    <a:satMod val="175000"/>
                    <a:alpha val="40000"/>
                  </a:schemeClr>
                </a:glow>
              </a:effectLst>
            </c:spPr>
          </c:dPt>
          <c:dLbls>
            <c:dLbl>
              <c:idx val="1"/>
              <c:layout>
                <c:manualLayout>
                  <c:x val="6.9808027923211171E-3"/>
                  <c:y val="0"/>
                </c:manualLayout>
              </c:layout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/>
                </a:pPr>
                <a:endParaRPr lang="ru-RU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eparator>
</c:separator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Подготовка!$B$4:$B$6</c:f>
              <c:strCache>
                <c:ptCount val="3"/>
                <c:pt idx="0">
                  <c:v>Менеджер 1</c:v>
                </c:pt>
                <c:pt idx="1">
                  <c:v>Менеджер 2</c:v>
                </c:pt>
                <c:pt idx="2">
                  <c:v>Менеджер3</c:v>
                </c:pt>
              </c:strCache>
            </c:strRef>
          </c:cat>
          <c:val>
            <c:numRef>
              <c:f>Подготовка!$F$4:$F$6</c:f>
              <c:numCache>
                <c:formatCode>#,##0.00\ "₽"</c:formatCode>
                <c:ptCount val="3"/>
                <c:pt idx="0">
                  <c:v>89072202.970000073</c:v>
                </c:pt>
                <c:pt idx="1">
                  <c:v>58000000</c:v>
                </c:pt>
                <c:pt idx="2">
                  <c:v>55000000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88"/>
        <c:holeSize val="41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Конверсия</a:t>
            </a:r>
            <a:r>
              <a:rPr lang="ru-RU" baseline="0"/>
              <a:t> по менеджерам</a:t>
            </a:r>
            <a:endParaRPr lang="ru-RU"/>
          </a:p>
        </c:rich>
      </c:tx>
      <c:layout/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92D050"/>
              </a:solidFill>
            </c:spPr>
          </c:dPt>
          <c:dPt>
            <c:idx val="1"/>
            <c:invertIfNegative val="0"/>
            <c:bubble3D val="0"/>
            <c:spPr>
              <a:solidFill>
                <a:srgbClr val="FF0000"/>
              </a:solidFill>
            </c:spPr>
          </c:dPt>
          <c:dPt>
            <c:idx val="2"/>
            <c:invertIfNegative val="0"/>
            <c:bubble3D val="0"/>
            <c:spPr>
              <a:solidFill>
                <a:srgbClr val="FFFF00"/>
              </a:solidFill>
            </c:spPr>
          </c:dPt>
          <c:dLbls>
            <c:dLbl>
              <c:idx val="0"/>
              <c:layout>
                <c:manualLayout>
                  <c:x val="-0.38751162303059222"/>
                  <c:y val="-2.3269342641070389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9,56 %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-0.43342516069788789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9,47 %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-0.25160697887970607"/>
                  <c:y val="-2.3271174872774411E-3"/>
                </c:manualLayout>
              </c:layout>
              <c:tx>
                <c:rich>
                  <a:bodyPr/>
                  <a:lstStyle/>
                  <a:p>
                    <a:pPr>
                      <a:defRPr sz="1400" b="1"/>
                    </a:pPr>
                    <a:r>
                      <a:rPr lang="en-US" sz="1400" b="1"/>
                      <a:t>6,02 %</a:t>
                    </a:r>
                  </a:p>
                </c:rich>
              </c:tx>
              <c:numFmt formatCode="#,##0.00" sourceLinked="0"/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(Подготовка!$B$10,Подготовка!$B$11,Подготовка!$B$12)</c:f>
              <c:strCache>
                <c:ptCount val="3"/>
                <c:pt idx="0">
                  <c:v>Менеджер 1</c:v>
                </c:pt>
                <c:pt idx="1">
                  <c:v>Менеджер 2</c:v>
                </c:pt>
                <c:pt idx="2">
                  <c:v>Менеджер 3</c:v>
                </c:pt>
              </c:strCache>
            </c:strRef>
          </c:cat>
          <c:val>
            <c:numRef>
              <c:f>(Подготовка!$E$10,Подготовка!$E$11,Подготовка!$E$12)</c:f>
              <c:numCache>
                <c:formatCode>#,##0.00</c:formatCode>
                <c:ptCount val="3"/>
                <c:pt idx="0">
                  <c:v>9.56</c:v>
                </c:pt>
                <c:pt idx="1">
                  <c:v>9.4700000000000006</c:v>
                </c:pt>
                <c:pt idx="2">
                  <c:v>6.02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6"/>
        <c:axId val="164177408"/>
        <c:axId val="163618112"/>
      </c:barChart>
      <c:catAx>
        <c:axId val="1641774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400" b="1"/>
            </a:pPr>
            <a:endParaRPr lang="ru-RU"/>
          </a:p>
        </c:txPr>
        <c:crossAx val="163618112"/>
        <c:crosses val="autoZero"/>
        <c:auto val="1"/>
        <c:lblAlgn val="ctr"/>
        <c:lblOffset val="100"/>
        <c:noMultiLvlLbl val="0"/>
      </c:catAx>
      <c:valAx>
        <c:axId val="163618112"/>
        <c:scaling>
          <c:orientation val="minMax"/>
        </c:scaling>
        <c:delete val="1"/>
        <c:axPos val="b"/>
        <c:numFmt formatCode="#,##0.00" sourceLinked="1"/>
        <c:majorTickMark val="out"/>
        <c:minorTickMark val="none"/>
        <c:tickLblPos val="nextTo"/>
        <c:crossAx val="164177408"/>
        <c:crosses val="autoZero"/>
        <c:crossBetween val="between"/>
      </c:valAx>
      <c:spPr>
        <a:solidFill>
          <a:schemeClr val="bg1"/>
        </a:solidFill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75"/>
      <c:rotY val="292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6.447755569015412E-2"/>
          <c:y val="9.2605996365838897E-2"/>
          <c:w val="0.88612800323036545"/>
          <c:h val="0.87937670351302244"/>
        </c:manualLayout>
      </c:layout>
      <c:pie3DChart>
        <c:varyColors val="1"/>
        <c:ser>
          <c:idx val="0"/>
          <c:order val="0"/>
          <c:spPr>
            <a:solidFill>
              <a:srgbClr val="92D050"/>
            </a:solidFill>
          </c:spPr>
          <c:explosion val="4"/>
          <c:dPt>
            <c:idx val="1"/>
            <c:bubble3D val="0"/>
            <c:spPr>
              <a:solidFill>
                <a:srgbClr val="FF0000"/>
              </a:solidFill>
            </c:spPr>
          </c:dPt>
          <c:dPt>
            <c:idx val="2"/>
            <c:bubble3D val="0"/>
            <c:spPr>
              <a:solidFill>
                <a:srgbClr val="FFFF00"/>
              </a:solidFill>
            </c:spPr>
          </c:dPt>
          <c:dLbls>
            <c:dLbl>
              <c:idx val="0"/>
              <c:layout>
                <c:manualLayout>
                  <c:x val="-0.10661350023554754"/>
                  <c:y val="0.1913616162026138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vertOverflow="overflow" horzOverflow="overflow" wrap="square" lIns="0" tIns="19050" rIns="38100" bIns="19050" anchor="ctr">
                  <a:spAutoFit/>
                </a:bodyPr>
                <a:lstStyle/>
                <a:p>
                  <a:pPr>
                    <a:defRPr sz="1400" b="1"/>
                  </a:pPr>
                  <a:endParaRPr lang="ru-RU"/>
                </a:p>
              </c:txPr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layout>
                    <c:manualLayout>
                      <c:w val="0.33596744034446674"/>
                      <c:h val="0.10898506652185719"/>
                    </c:manualLayout>
                  </c15:layout>
                </c:ext>
              </c:extLst>
            </c:dLbl>
            <c:dLbl>
              <c:idx val="1"/>
              <c:layout>
                <c:manualLayout>
                  <c:x val="-0.19410586176727909"/>
                  <c:y val="-0.2511858714181345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vertOverflow="overflow" horzOverflow="overflow" wrap="square" lIns="0" tIns="19050" rIns="38100" bIns="19050" anchor="ctr" anchorCtr="0">
                  <a:noAutofit/>
                </a:bodyPr>
                <a:lstStyle/>
                <a:p>
                  <a:pPr algn="ctr" rtl="0">
                    <a:defRPr lang="ru-RU" sz="14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6009795344209424"/>
                      <c:h val="0.10793103448275861"/>
                    </c:manualLayout>
                  </c15:layout>
                </c:ext>
              </c:extLst>
            </c:dLbl>
            <c:dLbl>
              <c:idx val="2"/>
              <c:layout>
                <c:manualLayout>
                  <c:x val="0.21096325459317586"/>
                  <c:y val="-0.1155445855994804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vertOverflow="overflow" horzOverflow="overflow" wrap="square" lIns="0" tIns="19050" rIns="38100" bIns="19050" anchor="ctr">
                  <a:noAutofit/>
                </a:bodyPr>
                <a:lstStyle/>
                <a:p>
                  <a:pPr>
                    <a:defRPr sz="1400" b="1"/>
                  </a:pPr>
                  <a:endParaRPr lang="ru-RU"/>
                </a:p>
              </c:txPr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9931363971660402"/>
                      <c:h val="0.10793103448275861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vertOverflow="overflow" horzOverflow="overflow" wrap="square" lIns="38100" tIns="19050" rIns="38100" bIns="19050" anchor="ctr">
                <a:noAutofit/>
              </a:bodyPr>
              <a:lstStyle/>
              <a:p>
                <a:pPr>
                  <a:defRPr sz="1200"/>
                </a:pPr>
                <a:endParaRPr lang="ru-RU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eparator>
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Подготовка!$B$10:$B$12</c:f>
              <c:strCache>
                <c:ptCount val="3"/>
                <c:pt idx="0">
                  <c:v>Менеджер 1</c:v>
                </c:pt>
                <c:pt idx="1">
                  <c:v>Менеджер 2</c:v>
                </c:pt>
                <c:pt idx="2">
                  <c:v>Менеджер 3</c:v>
                </c:pt>
              </c:strCache>
            </c:strRef>
          </c:cat>
          <c:val>
            <c:numRef>
              <c:f>Подготовка!$D$10:$D$12</c:f>
              <c:numCache>
                <c:formatCode>#,##0.00\ "₽"</c:formatCode>
                <c:ptCount val="3"/>
                <c:pt idx="0">
                  <c:v>930785288.96000004</c:v>
                </c:pt>
                <c:pt idx="1">
                  <c:v>612663984.53000033</c:v>
                </c:pt>
                <c:pt idx="2">
                  <c:v>612663984.53000033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[Отчет о работе сотрудников филиала СПб  проект.xlsm]Сумма оплаченых счетов!СводнаяТаблица2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ru-RU"/>
              <a:t>Сумма</a:t>
            </a:r>
            <a:r>
              <a:rPr lang="ru-RU" baseline="0"/>
              <a:t> оплаченных счетов</a:t>
            </a:r>
            <a:endParaRPr lang="ru-RU"/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spPr>
          <a:solidFill>
            <a:schemeClr val="accent6">
              <a:lumMod val="60000"/>
              <a:lumOff val="40000"/>
            </a:schemeClr>
          </a:solidFill>
        </c:spPr>
      </c:pivotFmt>
      <c:pivotFmt>
        <c:idx val="11"/>
        <c:spPr>
          <a:solidFill>
            <a:srgbClr val="FFFF00"/>
          </a:solidFill>
        </c:spPr>
      </c:pivotFmt>
      <c:pivotFmt>
        <c:idx val="12"/>
        <c:spPr>
          <a:solidFill>
            <a:srgbClr val="FF0000"/>
          </a:solidFill>
        </c:spP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'Сумма оплаченых счетов'!$B$3</c:f>
              <c:strCache>
                <c:ptCount val="1"/>
                <c:pt idx="0">
                  <c:v>Итог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</c:spPr>
          </c:dPt>
          <c:dPt>
            <c:idx val="1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</c:spPr>
          </c:dPt>
          <c:cat>
            <c:strRef>
              <c:f>'Сумма оплаченых счетов'!$A$4:$A$6</c:f>
              <c:strCache>
                <c:ptCount val="2"/>
                <c:pt idx="0">
                  <c:v>Панфилова М.В</c:v>
                </c:pt>
                <c:pt idx="1">
                  <c:v>Поздняков А.Л</c:v>
                </c:pt>
              </c:strCache>
            </c:strRef>
          </c:cat>
          <c:val>
            <c:numRef>
              <c:f>'Сумма оплаченых счетов'!$B$4:$B$6</c:f>
              <c:numCache>
                <c:formatCode>General</c:formatCode>
                <c:ptCount val="2"/>
                <c:pt idx="0">
                  <c:v>55543660.489999987</c:v>
                </c:pt>
                <c:pt idx="1">
                  <c:v>61218758.940000005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1553664"/>
        <c:axId val="165483584"/>
      </c:barChart>
      <c:catAx>
        <c:axId val="22155366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ru-RU"/>
          </a:p>
        </c:txPr>
        <c:crossAx val="165483584"/>
        <c:crosses val="autoZero"/>
        <c:auto val="1"/>
        <c:lblAlgn val="ctr"/>
        <c:lblOffset val="100"/>
        <c:noMultiLvlLbl val="0"/>
      </c:catAx>
      <c:valAx>
        <c:axId val="165483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5536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[Отчет о работе сотрудников филиала СПб  проект.xlsm]Лист8!СводнаяТаблица3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Лист8!$B$1</c:f>
              <c:strCache>
                <c:ptCount val="1"/>
                <c:pt idx="0">
                  <c:v>Итог</c:v>
                </c:pt>
              </c:strCache>
            </c:strRef>
          </c:tx>
          <c:invertIfNegative val="0"/>
          <c:cat>
            <c:strRef>
              <c:f>Лист8!$A$2:$A$5</c:f>
              <c:strCache>
                <c:ptCount val="3"/>
                <c:pt idx="0">
                  <c:v>Панфилова М.В</c:v>
                </c:pt>
                <c:pt idx="1">
                  <c:v>Поздняков А.Л</c:v>
                </c:pt>
                <c:pt idx="2">
                  <c:v>Чавкин Р.Р</c:v>
                </c:pt>
              </c:strCache>
            </c:strRef>
          </c:cat>
          <c:val>
            <c:numRef>
              <c:f>Лист8!$B$2:$B$5</c:f>
              <c:numCache>
                <c:formatCode>General</c:formatCode>
                <c:ptCount val="3"/>
                <c:pt idx="0">
                  <c:v>523</c:v>
                </c:pt>
                <c:pt idx="1">
                  <c:v>1239</c:v>
                </c:pt>
                <c:pt idx="2">
                  <c:v>793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6877184"/>
        <c:axId val="165485888"/>
      </c:barChart>
      <c:catAx>
        <c:axId val="16687718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65485888"/>
        <c:crosses val="autoZero"/>
        <c:auto val="1"/>
        <c:lblAlgn val="ctr"/>
        <c:lblOffset val="100"/>
        <c:noMultiLvlLbl val="0"/>
      </c:catAx>
      <c:valAx>
        <c:axId val="165485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8771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[Отчет о работе сотрудников филиала СПб  проект.xlsm]Лист9!СводнаяТаблица4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Лист9!$B$1</c:f>
              <c:strCache>
                <c:ptCount val="1"/>
                <c:pt idx="0">
                  <c:v>Итог</c:v>
                </c:pt>
              </c:strCache>
            </c:strRef>
          </c:tx>
          <c:invertIfNegative val="0"/>
          <c:cat>
            <c:strRef>
              <c:f>Лист9!$A$2:$A$5</c:f>
              <c:strCache>
                <c:ptCount val="3"/>
                <c:pt idx="0">
                  <c:v>Панфилова М.В</c:v>
                </c:pt>
                <c:pt idx="1">
                  <c:v>Поздняков А.Л</c:v>
                </c:pt>
                <c:pt idx="2">
                  <c:v>Чавкин Р.Р</c:v>
                </c:pt>
              </c:strCache>
            </c:strRef>
          </c:cat>
          <c:val>
            <c:numRef>
              <c:f>Лист9!$B$2:$B$5</c:f>
              <c:numCache>
                <c:formatCode>General</c:formatCode>
                <c:ptCount val="3"/>
                <c:pt idx="0">
                  <c:v>1154</c:v>
                </c:pt>
                <c:pt idx="1">
                  <c:v>1679</c:v>
                </c:pt>
                <c:pt idx="2">
                  <c:v>1830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2226688"/>
        <c:axId val="217781888"/>
      </c:barChart>
      <c:catAx>
        <c:axId val="1622266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17781888"/>
        <c:crosses val="autoZero"/>
        <c:auto val="1"/>
        <c:lblAlgn val="ctr"/>
        <c:lblOffset val="100"/>
        <c:noMultiLvlLbl val="0"/>
      </c:catAx>
      <c:valAx>
        <c:axId val="217781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22266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spPr>
            <a:solidFill>
              <a:srgbClr val="FF0000"/>
            </a:solidFill>
            <a:ln cap="rnd">
              <a:bevel/>
            </a:ln>
            <a:effectLst>
              <a:glow rad="63500">
                <a:schemeClr val="accent1">
                  <a:satMod val="175000"/>
                  <a:alpha val="40000"/>
                </a:schemeClr>
              </a:glow>
            </a:effectLst>
          </c:spPr>
          <c:explosion val="3"/>
          <c:dPt>
            <c:idx val="0"/>
            <c:bubble3D val="0"/>
            <c:spPr>
              <a:solidFill>
                <a:srgbClr val="92D050"/>
              </a:solidFill>
              <a:ln cap="rnd">
                <a:bevel/>
              </a:ln>
              <a:effectLst>
                <a:glow rad="63500">
                  <a:schemeClr val="accent1">
                    <a:satMod val="175000"/>
                    <a:alpha val="40000"/>
                  </a:schemeClr>
                </a:glow>
              </a:effectLst>
            </c:spPr>
          </c:dPt>
          <c:dPt>
            <c:idx val="2"/>
            <c:bubble3D val="0"/>
            <c:spPr>
              <a:solidFill>
                <a:srgbClr val="FFFF00"/>
              </a:solidFill>
              <a:ln cap="rnd">
                <a:bevel/>
              </a:ln>
              <a:effectLst>
                <a:glow rad="63500">
                  <a:schemeClr val="accent1">
                    <a:satMod val="175000"/>
                    <a:alpha val="40000"/>
                  </a:schemeClr>
                </a:glo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/>
                </a:pPr>
                <a:endParaRPr lang="ru-RU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eparator>
</c:separator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Подготовка!$B$4:$B$6</c:f>
              <c:strCache>
                <c:ptCount val="3"/>
                <c:pt idx="0">
                  <c:v>Менеджер 1</c:v>
                </c:pt>
                <c:pt idx="1">
                  <c:v>Менеджер 2</c:v>
                </c:pt>
                <c:pt idx="2">
                  <c:v>Менеджер3</c:v>
                </c:pt>
              </c:strCache>
            </c:strRef>
          </c:cat>
          <c:val>
            <c:numRef>
              <c:f>Подготовка!$F$4:$F$6</c:f>
              <c:numCache>
                <c:formatCode>#,##0.00\ "₽"</c:formatCode>
                <c:ptCount val="3"/>
                <c:pt idx="0">
                  <c:v>89072202.970000073</c:v>
                </c:pt>
                <c:pt idx="1">
                  <c:v>58000000</c:v>
                </c:pt>
                <c:pt idx="2">
                  <c:v>55000000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88"/>
        <c:holeSize val="41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  <c:perspective val="30"/>
    </c:view3D>
    <c:floor>
      <c:thickness val="0"/>
      <c:spPr>
        <a:pattFill prst="pct5">
          <a:fgClr>
            <a:srgbClr val="FF0000"/>
          </a:fgClr>
          <a:bgClr>
            <a:schemeClr val="bg1"/>
          </a:bgClr>
        </a:pattFill>
        <a:ln w="22225">
          <a:solidFill>
            <a:schemeClr val="tx1"/>
          </a:solidFill>
        </a:ln>
      </c:spPr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7.2182852143482065E-2"/>
          <c:y val="7.4548702245552642E-2"/>
          <c:w val="0.76242957130358702"/>
          <c:h val="0.8326195683872849"/>
        </c:manualLayout>
      </c:layout>
      <c:bar3D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92D050"/>
              </a:solidFill>
            </c:spPr>
          </c:dPt>
          <c:dPt>
            <c:idx val="1"/>
            <c:invertIfNegative val="0"/>
            <c:bubble3D val="0"/>
            <c:spPr>
              <a:solidFill>
                <a:srgbClr val="FF0000"/>
              </a:solidFill>
            </c:spPr>
          </c:dPt>
          <c:dPt>
            <c:idx val="2"/>
            <c:invertIfNegative val="0"/>
            <c:bubble3D val="0"/>
            <c:spPr>
              <a:solidFill>
                <a:srgbClr val="FFFF00"/>
              </a:solidFill>
            </c:spPr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Подготовка!$B$4:$B$6</c:f>
              <c:strCache>
                <c:ptCount val="3"/>
                <c:pt idx="0">
                  <c:v>Менеджер 1</c:v>
                </c:pt>
                <c:pt idx="1">
                  <c:v>Менеджер 2</c:v>
                </c:pt>
                <c:pt idx="2">
                  <c:v>Менеджер3</c:v>
                </c:pt>
              </c:strCache>
            </c:strRef>
          </c:cat>
          <c:val>
            <c:numRef>
              <c:f>Подготовка!$C$4:$C$6</c:f>
              <c:numCache>
                <c:formatCode>General</c:formatCode>
                <c:ptCount val="3"/>
                <c:pt idx="0">
                  <c:v>1366</c:v>
                </c:pt>
                <c:pt idx="1">
                  <c:v>523</c:v>
                </c:pt>
                <c:pt idx="2">
                  <c:v>793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8"/>
        <c:gapDepth val="190"/>
        <c:shape val="box"/>
        <c:axId val="162226176"/>
        <c:axId val="219002496"/>
        <c:axId val="0"/>
      </c:bar3DChart>
      <c:catAx>
        <c:axId val="16222617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400"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ru-RU"/>
          </a:p>
        </c:txPr>
        <c:crossAx val="219002496"/>
        <c:crosses val="autoZero"/>
        <c:auto val="1"/>
        <c:lblAlgn val="ctr"/>
        <c:lblOffset val="100"/>
        <c:noMultiLvlLbl val="0"/>
      </c:catAx>
      <c:valAx>
        <c:axId val="219002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22261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  <c:perspective val="30"/>
    </c:view3D>
    <c:floor>
      <c:thickness val="0"/>
      <c:spPr>
        <a:pattFill prst="pct5">
          <a:fgClr>
            <a:srgbClr val="FF0000"/>
          </a:fgClr>
          <a:bgClr>
            <a:schemeClr val="bg1"/>
          </a:bgClr>
        </a:pattFill>
        <a:ln w="28575">
          <a:solidFill>
            <a:schemeClr val="tx1"/>
          </a:solidFill>
        </a:ln>
      </c:spPr>
    </c:floor>
    <c:sideWall>
      <c:thickness val="0"/>
    </c:sideWall>
    <c:backWall>
      <c:thickness val="0"/>
    </c:backWall>
    <c:plotArea>
      <c:layout/>
      <c:bar3D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92D050"/>
              </a:solidFill>
            </c:spPr>
          </c:dPt>
          <c:dPt>
            <c:idx val="1"/>
            <c:invertIfNegative val="0"/>
            <c:bubble3D val="0"/>
            <c:spPr>
              <a:solidFill>
                <a:srgbClr val="FF0000"/>
              </a:solidFill>
            </c:spPr>
          </c:dPt>
          <c:dPt>
            <c:idx val="2"/>
            <c:invertIfNegative val="0"/>
            <c:bubble3D val="0"/>
            <c:spPr>
              <a:solidFill>
                <a:srgbClr val="FFFF00"/>
              </a:solidFill>
            </c:spPr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Подготовка!$B$4:$B$6</c:f>
              <c:strCache>
                <c:ptCount val="3"/>
                <c:pt idx="0">
                  <c:v>Менеджер 1</c:v>
                </c:pt>
                <c:pt idx="1">
                  <c:v>Менеджер 2</c:v>
                </c:pt>
                <c:pt idx="2">
                  <c:v>Менеджер3</c:v>
                </c:pt>
              </c:strCache>
            </c:strRef>
          </c:cat>
          <c:val>
            <c:numRef>
              <c:f>Подготовка!$D$4:$D$6</c:f>
              <c:numCache>
                <c:formatCode>General</c:formatCode>
                <c:ptCount val="3"/>
                <c:pt idx="0">
                  <c:v>484</c:v>
                </c:pt>
                <c:pt idx="1">
                  <c:v>631</c:v>
                </c:pt>
                <c:pt idx="2">
                  <c:v>1037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8"/>
        <c:shape val="box"/>
        <c:axId val="162592768"/>
        <c:axId val="219004224"/>
        <c:axId val="0"/>
      </c:bar3DChart>
      <c:catAx>
        <c:axId val="16259276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600"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ru-RU"/>
          </a:p>
        </c:txPr>
        <c:crossAx val="219004224"/>
        <c:crosses val="autoZero"/>
        <c:auto val="1"/>
        <c:lblAlgn val="ctr"/>
        <c:lblOffset val="100"/>
        <c:noMultiLvlLbl val="0"/>
      </c:catAx>
      <c:valAx>
        <c:axId val="219004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25927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Сумма</a:t>
            </a:r>
            <a:r>
              <a:rPr lang="ru-RU" baseline="0"/>
              <a:t> счетов и КП</a:t>
            </a:r>
            <a:endParaRPr lang="ru-RU"/>
          </a:p>
        </c:rich>
      </c:tx>
      <c:layout>
        <c:manualLayout>
          <c:xMode val="edge"/>
          <c:yMode val="edge"/>
          <c:x val="0.36742487476271735"/>
          <c:y val="4.2967814029063106E-2"/>
        </c:manualLayout>
      </c:layout>
      <c:overlay val="0"/>
    </c:title>
    <c:autoTitleDeleted val="0"/>
    <c:view3D>
      <c:rotX val="15"/>
      <c:rotY val="20"/>
      <c:rAngAx val="0"/>
      <c:perspective val="30"/>
    </c:view3D>
    <c:floor>
      <c:thickness val="0"/>
      <c:spPr>
        <a:pattFill prst="pct5">
          <a:fgClr>
            <a:srgbClr val="FF0000"/>
          </a:fgClr>
          <a:bgClr>
            <a:schemeClr val="bg1"/>
          </a:bgClr>
        </a:pattFill>
        <a:ln w="31750">
          <a:solidFill>
            <a:schemeClr val="tx1"/>
          </a:solidFill>
        </a:ln>
      </c:spPr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015501326041816"/>
          <c:y val="0.12481925455355648"/>
          <c:w val="0.86928937007874019"/>
          <c:h val="0.72212040746368689"/>
        </c:manualLayout>
      </c:layout>
      <c:bar3D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92D050"/>
              </a:solidFill>
            </c:spPr>
          </c:dPt>
          <c:dPt>
            <c:idx val="1"/>
            <c:invertIfNegative val="0"/>
            <c:bubble3D val="0"/>
            <c:spPr>
              <a:solidFill>
                <a:srgbClr val="FF0000"/>
              </a:solidFill>
            </c:spPr>
          </c:dPt>
          <c:dPt>
            <c:idx val="2"/>
            <c:invertIfNegative val="0"/>
            <c:bubble3D val="0"/>
            <c:spPr>
              <a:solidFill>
                <a:srgbClr val="FFFF00"/>
              </a:solidFill>
            </c:spPr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Подготовка!$B$4:$B$6</c:f>
              <c:strCache>
                <c:ptCount val="3"/>
                <c:pt idx="0">
                  <c:v>Менеджер 1</c:v>
                </c:pt>
                <c:pt idx="1">
                  <c:v>Менеджер 2</c:v>
                </c:pt>
                <c:pt idx="2">
                  <c:v>Менеджер3</c:v>
                </c:pt>
              </c:strCache>
            </c:strRef>
          </c:cat>
          <c:val>
            <c:numRef>
              <c:f>Подготовка!$E$4:$E$6</c:f>
              <c:numCache>
                <c:formatCode>General</c:formatCode>
                <c:ptCount val="3"/>
                <c:pt idx="0">
                  <c:v>1850</c:v>
                </c:pt>
                <c:pt idx="1">
                  <c:v>1154</c:v>
                </c:pt>
                <c:pt idx="2">
                  <c:v>1830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8"/>
        <c:shape val="box"/>
        <c:axId val="162593280"/>
        <c:axId val="219006080"/>
        <c:axId val="0"/>
      </c:bar3DChart>
      <c:catAx>
        <c:axId val="16259328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1600"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ru-RU"/>
          </a:p>
        </c:txPr>
        <c:crossAx val="219006080"/>
        <c:crosses val="autoZero"/>
        <c:auto val="1"/>
        <c:lblAlgn val="ctr"/>
        <c:lblOffset val="100"/>
        <c:noMultiLvlLbl val="0"/>
      </c:catAx>
      <c:valAx>
        <c:axId val="21900608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625932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75"/>
      <c:rotY val="292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3.1998867788585253E-2"/>
          <c:y val="3.4913747850484206E-2"/>
          <c:w val="0.9425382121352478"/>
          <c:h val="0.93706905602316948"/>
        </c:manualLayout>
      </c:layout>
      <c:pie3DChart>
        <c:varyColors val="1"/>
        <c:ser>
          <c:idx val="0"/>
          <c:order val="0"/>
          <c:spPr>
            <a:solidFill>
              <a:srgbClr val="92D050"/>
            </a:solidFill>
          </c:spPr>
          <c:explosion val="4"/>
          <c:dPt>
            <c:idx val="1"/>
            <c:bubble3D val="0"/>
            <c:spPr>
              <a:solidFill>
                <a:srgbClr val="FF0000"/>
              </a:solidFill>
            </c:spPr>
          </c:dPt>
          <c:dPt>
            <c:idx val="2"/>
            <c:bubble3D val="0"/>
            <c:spPr>
              <a:solidFill>
                <a:srgbClr val="FFFF00"/>
              </a:solidFill>
            </c:spPr>
          </c:dPt>
          <c:dLbls>
            <c:dLbl>
              <c:idx val="0"/>
              <c:layout>
                <c:manualLayout>
                  <c:x val="-0.15276739917314258"/>
                  <c:y val="0.1862068965517241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vertOverflow="overflow" horzOverflow="overflow" wrap="square" lIns="0" tIns="19050" rIns="38100" bIns="19050" anchor="ctr">
                  <a:spAutoFit/>
                </a:bodyPr>
                <a:lstStyle/>
                <a:p>
                  <a:pPr>
                    <a:defRPr sz="1400" b="1"/>
                  </a:pPr>
                  <a:endParaRPr lang="ru-RU"/>
                </a:p>
              </c:txPr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layout>
                    <c:manualLayout>
                      <c:w val="0.33596744034446674"/>
                      <c:h val="0.10898506652185719"/>
                    </c:manualLayout>
                  </c15:layout>
                </c:ext>
              </c:extLst>
            </c:dLbl>
            <c:dLbl>
              <c:idx val="1"/>
              <c:layout>
                <c:manualLayout>
                  <c:x val="-0.21290926869435439"/>
                  <c:y val="-0.2382993031043533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vertOverflow="overflow" horzOverflow="overflow" wrap="square" lIns="0" tIns="19050" rIns="38100" bIns="19050" anchor="ctr" anchorCtr="0">
                  <a:noAutofit/>
                </a:bodyPr>
                <a:lstStyle/>
                <a:p>
                  <a:pPr algn="ctr" rtl="0">
                    <a:defRPr lang="ru-RU" sz="14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6009795344209424"/>
                      <c:h val="0.10793103448275861"/>
                    </c:manualLayout>
                  </c15:layout>
                </c:ext>
              </c:extLst>
            </c:dLbl>
            <c:dLbl>
              <c:idx val="2"/>
              <c:layout>
                <c:manualLayout>
                  <c:x val="0.14258718885629493"/>
                  <c:y val="-0.1000806407819712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vertOverflow="overflow" horzOverflow="overflow" wrap="square" lIns="0" tIns="19050" rIns="38100" bIns="19050" anchor="ctr">
                  <a:noAutofit/>
                </a:bodyPr>
                <a:lstStyle/>
                <a:p>
                  <a:pPr>
                    <a:defRPr sz="1400" b="1"/>
                  </a:pPr>
                  <a:endParaRPr lang="ru-RU"/>
                </a:p>
              </c:txPr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9931363971660402"/>
                      <c:h val="0.10793103448275861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vertOverflow="overflow" horzOverflow="overflow" wrap="square" lIns="38100" tIns="19050" rIns="38100" bIns="19050" anchor="ctr">
                <a:noAutofit/>
              </a:bodyPr>
              <a:lstStyle/>
              <a:p>
                <a:pPr>
                  <a:defRPr sz="1200"/>
                </a:pPr>
                <a:endParaRPr lang="ru-RU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eparator>
</c:separator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Подготовка!$B$10:$B$12</c:f>
              <c:strCache>
                <c:ptCount val="3"/>
                <c:pt idx="0">
                  <c:v>Менеджер 1</c:v>
                </c:pt>
                <c:pt idx="1">
                  <c:v>Менеджер 2</c:v>
                </c:pt>
                <c:pt idx="2">
                  <c:v>Менеджер 3</c:v>
                </c:pt>
              </c:strCache>
            </c:strRef>
          </c:cat>
          <c:val>
            <c:numRef>
              <c:f>Подготовка!$D$10:$D$12</c:f>
              <c:numCache>
                <c:formatCode>#,##0.00\ "₽"</c:formatCode>
                <c:ptCount val="3"/>
                <c:pt idx="0">
                  <c:v>930785288.96000004</c:v>
                </c:pt>
                <c:pt idx="1">
                  <c:v>612663984.53000033</c:v>
                </c:pt>
                <c:pt idx="2">
                  <c:v>612663984.53000033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92D050"/>
              </a:solidFill>
            </c:spPr>
          </c:dPt>
          <c:dPt>
            <c:idx val="1"/>
            <c:invertIfNegative val="0"/>
            <c:bubble3D val="0"/>
            <c:spPr>
              <a:solidFill>
                <a:srgbClr val="FF0000"/>
              </a:solidFill>
            </c:spPr>
          </c:dPt>
          <c:dPt>
            <c:idx val="2"/>
            <c:invertIfNegative val="0"/>
            <c:bubble3D val="0"/>
            <c:spPr>
              <a:solidFill>
                <a:srgbClr val="FFFF00"/>
              </a:solidFill>
            </c:spPr>
          </c:dPt>
          <c:dLbls>
            <c:dLbl>
              <c:idx val="0"/>
              <c:layout>
                <c:manualLayout>
                  <c:x val="-0.38751162303059222"/>
                  <c:y val="-2.3269342641070389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9,56 %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-0.43342516069788789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9,47 %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-0.25160697887970607"/>
                  <c:y val="-2.3271174872774411E-3"/>
                </c:manualLayout>
              </c:layout>
              <c:tx>
                <c:rich>
                  <a:bodyPr/>
                  <a:lstStyle/>
                  <a:p>
                    <a:r>
                      <a:rPr lang="en-US" sz="1400" b="1"/>
                      <a:t>6,02 %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(Подготовка!$B$10,Подготовка!$B$11,Подготовка!$B$12)</c:f>
              <c:strCache>
                <c:ptCount val="3"/>
                <c:pt idx="0">
                  <c:v>Менеджер 1</c:v>
                </c:pt>
                <c:pt idx="1">
                  <c:v>Менеджер 2</c:v>
                </c:pt>
                <c:pt idx="2">
                  <c:v>Менеджер 3</c:v>
                </c:pt>
              </c:strCache>
            </c:strRef>
          </c:cat>
          <c:val>
            <c:numRef>
              <c:f>(Подготовка!$E$10,Подготовка!$E$11,Подготовка!$E$12)</c:f>
              <c:numCache>
                <c:formatCode>#,##0.00</c:formatCode>
                <c:ptCount val="3"/>
                <c:pt idx="0">
                  <c:v>9.56</c:v>
                </c:pt>
                <c:pt idx="1">
                  <c:v>9.4700000000000006</c:v>
                </c:pt>
                <c:pt idx="2">
                  <c:v>6.02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6"/>
        <c:axId val="162593792"/>
        <c:axId val="219008960"/>
      </c:barChart>
      <c:catAx>
        <c:axId val="16259379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400" b="1"/>
            </a:pPr>
            <a:endParaRPr lang="ru-RU"/>
          </a:p>
        </c:txPr>
        <c:crossAx val="219008960"/>
        <c:crosses val="autoZero"/>
        <c:auto val="1"/>
        <c:lblAlgn val="ctr"/>
        <c:lblOffset val="100"/>
        <c:noMultiLvlLbl val="0"/>
      </c:catAx>
      <c:valAx>
        <c:axId val="219008960"/>
        <c:scaling>
          <c:orientation val="minMax"/>
        </c:scaling>
        <c:delete val="1"/>
        <c:axPos val="b"/>
        <c:majorGridlines>
          <c:spPr>
            <a:ln>
              <a:solidFill>
                <a:schemeClr val="tx1"/>
              </a:solidFill>
              <a:round/>
            </a:ln>
          </c:spPr>
        </c:majorGridlines>
        <c:numFmt formatCode="#,##0.00" sourceLinked="1"/>
        <c:majorTickMark val="out"/>
        <c:minorTickMark val="none"/>
        <c:tickLblPos val="nextTo"/>
        <c:crossAx val="162593792"/>
        <c:crosses val="autoZero"/>
        <c:crossBetween val="between"/>
      </c:valAx>
      <c:spPr>
        <a:pattFill prst="pct5">
          <a:fgClr>
            <a:srgbClr val="92D050"/>
          </a:fgClr>
          <a:bgClr>
            <a:schemeClr val="bg1"/>
          </a:bgClr>
        </a:pattFill>
        <a:ln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chart" Target="../charts/chart3.xml"/><Relationship Id="rId7" Type="http://schemas.openxmlformats.org/officeDocument/2006/relationships/chart" Target="../charts/chart5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'&#1055;&#1086;&#1103;&#1089;&#1085;&#1077;&#1085;&#1080;&#1103; &#1082; &#1086;&#1090;&#1095;&#1077;&#1090;&#1091;'!A1"/><Relationship Id="rId5" Type="http://schemas.openxmlformats.org/officeDocument/2006/relationships/hyperlink" Target="#&#1055;&#1086;&#1076;&#1075;&#1086;&#1090;&#1086;&#1074;&#1082;&#1072;!A1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'&#1048;&#1090;&#1086;&#1075;&#1086;&#1074;&#1099;&#1077; &#1076;&#1072;&#1085;&#1085;&#1099;&#1077;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7" Type="http://schemas.openxmlformats.org/officeDocument/2006/relationships/chart" Target="../charts/chart15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chart" Target="../charts/chart14.xml"/><Relationship Id="rId5" Type="http://schemas.openxmlformats.org/officeDocument/2006/relationships/hyperlink" Target="#'&#1048;&#1090;&#1086;&#1075;&#1086;&#1074;&#1099;&#1077; &#1076;&#1072;&#1085;&#1085;&#1099;&#1077;'!A1"/><Relationship Id="rId4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104775</xdr:colOff>
      <xdr:row>0</xdr:row>
      <xdr:rowOff>180975</xdr:rowOff>
    </xdr:from>
    <xdr:to>
      <xdr:col>25</xdr:col>
      <xdr:colOff>165100</xdr:colOff>
      <xdr:row>29</xdr:row>
      <xdr:rowOff>177800</xdr:rowOff>
    </xdr:to>
    <xdr:graphicFrame macro="">
      <xdr:nvGraphicFramePr>
        <xdr:cNvPr id="18" name="Диаграмма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50800</xdr:colOff>
      <xdr:row>30</xdr:row>
      <xdr:rowOff>76200</xdr:rowOff>
    </xdr:from>
    <xdr:to>
      <xdr:col>13</xdr:col>
      <xdr:colOff>12700</xdr:colOff>
      <xdr:row>59</xdr:row>
      <xdr:rowOff>38100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82550</xdr:colOff>
      <xdr:row>30</xdr:row>
      <xdr:rowOff>73025</xdr:rowOff>
    </xdr:from>
    <xdr:to>
      <xdr:col>25</xdr:col>
      <xdr:colOff>190500</xdr:colOff>
      <xdr:row>59</xdr:row>
      <xdr:rowOff>38101</xdr:rowOff>
    </xdr:to>
    <xdr:graphicFrame macro="">
      <xdr:nvGraphicFramePr>
        <xdr:cNvPr id="6" name="Диаграмма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0</xdr:row>
      <xdr:rowOff>171450</xdr:rowOff>
    </xdr:from>
    <xdr:to>
      <xdr:col>13</xdr:col>
      <xdr:colOff>19050</xdr:colOff>
      <xdr:row>29</xdr:row>
      <xdr:rowOff>161925</xdr:rowOff>
    </xdr:to>
    <xdr:graphicFrame macro="">
      <xdr:nvGraphicFramePr>
        <xdr:cNvPr id="7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295275</xdr:colOff>
      <xdr:row>1</xdr:row>
      <xdr:rowOff>66675</xdr:rowOff>
    </xdr:from>
    <xdr:to>
      <xdr:col>28</xdr:col>
      <xdr:colOff>561975</xdr:colOff>
      <xdr:row>4</xdr:row>
      <xdr:rowOff>38100</xdr:rowOff>
    </xdr:to>
    <xdr:sp macro="" textlink="">
      <xdr:nvSpPr>
        <xdr:cNvPr id="4" name="Скругленный прямоугольник 3">
          <a:hlinkClick xmlns:r="http://schemas.openxmlformats.org/officeDocument/2006/relationships" r:id="rId5"/>
        </xdr:cNvPr>
        <xdr:cNvSpPr/>
      </xdr:nvSpPr>
      <xdr:spPr>
        <a:xfrm>
          <a:off x="16144875" y="257175"/>
          <a:ext cx="1485900" cy="542925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100"/>
            <a:t>Вывод</a:t>
          </a:r>
          <a:r>
            <a:rPr lang="ru-RU" sz="1100" baseline="0"/>
            <a:t> данных по отчету</a:t>
          </a:r>
          <a:endParaRPr lang="ru-RU" sz="1100"/>
        </a:p>
      </xdr:txBody>
    </xdr:sp>
    <xdr:clientData/>
  </xdr:twoCellAnchor>
  <xdr:twoCellAnchor>
    <xdr:from>
      <xdr:col>26</xdr:col>
      <xdr:colOff>304800</xdr:colOff>
      <xdr:row>5</xdr:row>
      <xdr:rowOff>19050</xdr:rowOff>
    </xdr:from>
    <xdr:to>
      <xdr:col>28</xdr:col>
      <xdr:colOff>571500</xdr:colOff>
      <xdr:row>7</xdr:row>
      <xdr:rowOff>180975</xdr:rowOff>
    </xdr:to>
    <xdr:sp macro="" textlink="">
      <xdr:nvSpPr>
        <xdr:cNvPr id="8" name="Скругленный прямоугольник 7">
          <a:hlinkClick xmlns:r="http://schemas.openxmlformats.org/officeDocument/2006/relationships" r:id="rId6"/>
        </xdr:cNvPr>
        <xdr:cNvSpPr/>
      </xdr:nvSpPr>
      <xdr:spPr>
        <a:xfrm>
          <a:off x="16154400" y="971550"/>
          <a:ext cx="1485900" cy="542925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Пояснения к отчету</a:t>
          </a:r>
        </a:p>
      </xdr:txBody>
    </xdr:sp>
    <xdr:clientData/>
  </xdr:twoCellAnchor>
  <xdr:twoCellAnchor>
    <xdr:from>
      <xdr:col>30</xdr:col>
      <xdr:colOff>320675</xdr:colOff>
      <xdr:row>5</xdr:row>
      <xdr:rowOff>15874</xdr:rowOff>
    </xdr:from>
    <xdr:to>
      <xdr:col>37</xdr:col>
      <xdr:colOff>358802</xdr:colOff>
      <xdr:row>7</xdr:row>
      <xdr:rowOff>51743</xdr:rowOff>
    </xdr:to>
    <xdr:sp macro="" textlink="">
      <xdr:nvSpPr>
        <xdr:cNvPr id="10" name="TextBox 1"/>
        <xdr:cNvSpPr txBox="1"/>
      </xdr:nvSpPr>
      <xdr:spPr>
        <a:xfrm>
          <a:off x="18608675" y="968374"/>
          <a:ext cx="4305327" cy="416869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ru-RU" sz="1800" b="1">
            <a:latin typeface="+mn-lt"/>
          </a:endParaRPr>
        </a:p>
      </xdr:txBody>
    </xdr:sp>
    <xdr:clientData/>
  </xdr:twoCellAnchor>
  <xdr:twoCellAnchor>
    <xdr:from>
      <xdr:col>25</xdr:col>
      <xdr:colOff>254000</xdr:colOff>
      <xdr:row>36</xdr:row>
      <xdr:rowOff>53975</xdr:rowOff>
    </xdr:from>
    <xdr:to>
      <xdr:col>37</xdr:col>
      <xdr:colOff>355599</xdr:colOff>
      <xdr:row>59</xdr:row>
      <xdr:rowOff>50800</xdr:rowOff>
    </xdr:to>
    <xdr:graphicFrame macro="">
      <xdr:nvGraphicFramePr>
        <xdr:cNvPr id="11" name="Диаграмма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25</xdr:col>
      <xdr:colOff>241300</xdr:colOff>
      <xdr:row>8</xdr:row>
      <xdr:rowOff>139700</xdr:rowOff>
    </xdr:from>
    <xdr:to>
      <xdr:col>37</xdr:col>
      <xdr:colOff>355600</xdr:colOff>
      <xdr:row>36</xdr:row>
      <xdr:rowOff>0</xdr:rowOff>
    </xdr:to>
    <xdr:graphicFrame macro="">
      <xdr:nvGraphicFramePr>
        <xdr:cNvPr id="12" name="Диаграмма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0.21326</cdr:x>
      <cdr:y>0.03191</cdr:y>
    </cdr:from>
    <cdr:to>
      <cdr:x>0.80104</cdr:x>
      <cdr:y>0.10829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562091" y="174161"/>
          <a:ext cx="4305327" cy="41686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ru-RU" sz="1800" b="1">
              <a:latin typeface="+mn-lt"/>
            </a:rPr>
            <a:t>Количество выставленных счетов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0.25428</cdr:x>
      <cdr:y>0.02257</cdr:y>
    </cdr:from>
    <cdr:to>
      <cdr:x>0.79578</cdr:x>
      <cdr:y>0.10938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838325" y="123825"/>
          <a:ext cx="3914775" cy="4762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ru-RU" sz="1800" b="1" i="0">
              <a:latin typeface="+mn-lt"/>
              <a:cs typeface="Times New Roman" panose="02020603050405020304" pitchFamily="18" charset="0"/>
            </a:rPr>
            <a:t>Количество выставленных КП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0.27356</cdr:x>
      <cdr:y>0.00716</cdr:y>
    </cdr:from>
    <cdr:to>
      <cdr:x>0.75131</cdr:x>
      <cdr:y>0.08229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990725" y="38101"/>
          <a:ext cx="3476625" cy="400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0.28272</cdr:x>
      <cdr:y>0.01431</cdr:y>
    </cdr:from>
    <cdr:to>
      <cdr:x>0.85995</cdr:x>
      <cdr:y>0.09302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2057400" y="76200"/>
          <a:ext cx="4200525" cy="4191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ru-RU" sz="1800" b="1"/>
            <a:t>Сумма оплаченных счетов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0.1453</cdr:x>
      <cdr:y>0.02644</cdr:y>
    </cdr:from>
    <cdr:to>
      <cdr:x>0.9094</cdr:x>
      <cdr:y>0.09615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079500" y="139700"/>
          <a:ext cx="5676900" cy="36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0.06838</cdr:x>
      <cdr:y>0.01202</cdr:y>
    </cdr:from>
    <cdr:to>
      <cdr:x>0.98462</cdr:x>
      <cdr:y>0.10817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508000" y="63500"/>
          <a:ext cx="68072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0.04786</cdr:x>
      <cdr:y>0.03125</cdr:y>
    </cdr:from>
    <cdr:to>
      <cdr:x>0.97436</cdr:x>
      <cdr:y>0.1226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355600" y="165100"/>
          <a:ext cx="6883400" cy="482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ru-RU" sz="1800" b="1"/>
            <a:t>                              Сумма</a:t>
          </a:r>
          <a:r>
            <a:rPr lang="ru-RU" sz="1800" b="1" baseline="0"/>
            <a:t> выставленных КП и счетов</a:t>
          </a:r>
          <a:endParaRPr lang="ru-RU" sz="1800" b="1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238124</xdr:colOff>
      <xdr:row>8</xdr:row>
      <xdr:rowOff>66675</xdr:rowOff>
    </xdr:from>
    <xdr:to>
      <xdr:col>8</xdr:col>
      <xdr:colOff>95249</xdr:colOff>
      <xdr:row>43</xdr:row>
      <xdr:rowOff>66675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190499</xdr:rowOff>
    </xdr:from>
    <xdr:to>
      <xdr:col>16</xdr:col>
      <xdr:colOff>476250</xdr:colOff>
      <xdr:row>32</xdr:row>
      <xdr:rowOff>85725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609599</xdr:colOff>
      <xdr:row>0</xdr:row>
      <xdr:rowOff>190499</xdr:rowOff>
    </xdr:from>
    <xdr:to>
      <xdr:col>18</xdr:col>
      <xdr:colOff>295274</xdr:colOff>
      <xdr:row>28</xdr:row>
      <xdr:rowOff>161924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533400</xdr:colOff>
      <xdr:row>11</xdr:row>
      <xdr:rowOff>180975</xdr:rowOff>
    </xdr:from>
    <xdr:to>
      <xdr:col>18</xdr:col>
      <xdr:colOff>190500</xdr:colOff>
      <xdr:row>14</xdr:row>
      <xdr:rowOff>152400</xdr:rowOff>
    </xdr:to>
    <xdr:sp macro="" textlink="">
      <xdr:nvSpPr>
        <xdr:cNvPr id="2" name="Скругленный прямоугольник 1">
          <a:hlinkClick xmlns:r="http://schemas.openxmlformats.org/officeDocument/2006/relationships" r:id="rId1"/>
        </xdr:cNvPr>
        <xdr:cNvSpPr/>
      </xdr:nvSpPr>
      <xdr:spPr>
        <a:xfrm>
          <a:off x="9677400" y="2466975"/>
          <a:ext cx="1485900" cy="542925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Вернуться к итоговым данным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12</xdr:row>
      <xdr:rowOff>142874</xdr:rowOff>
    </xdr:from>
    <xdr:to>
      <xdr:col>4</xdr:col>
      <xdr:colOff>1085850</xdr:colOff>
      <xdr:row>41</xdr:row>
      <xdr:rowOff>114299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1285874</xdr:colOff>
      <xdr:row>12</xdr:row>
      <xdr:rowOff>171449</xdr:rowOff>
    </xdr:from>
    <xdr:to>
      <xdr:col>13</xdr:col>
      <xdr:colOff>600074</xdr:colOff>
      <xdr:row>41</xdr:row>
      <xdr:rowOff>142875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190499</xdr:colOff>
      <xdr:row>12</xdr:row>
      <xdr:rowOff>180975</xdr:rowOff>
    </xdr:from>
    <xdr:to>
      <xdr:col>25</xdr:col>
      <xdr:colOff>9524</xdr:colOff>
      <xdr:row>41</xdr:row>
      <xdr:rowOff>142875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171450</xdr:colOff>
      <xdr:row>42</xdr:row>
      <xdr:rowOff>152399</xdr:rowOff>
    </xdr:from>
    <xdr:to>
      <xdr:col>4</xdr:col>
      <xdr:colOff>1066800</xdr:colOff>
      <xdr:row>71</xdr:row>
      <xdr:rowOff>161925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323850</xdr:colOff>
      <xdr:row>2</xdr:row>
      <xdr:rowOff>66675</xdr:rowOff>
    </xdr:from>
    <xdr:to>
      <xdr:col>10</xdr:col>
      <xdr:colOff>590550</xdr:colOff>
      <xdr:row>5</xdr:row>
      <xdr:rowOff>38100</xdr:rowOff>
    </xdr:to>
    <xdr:sp macro="" textlink="">
      <xdr:nvSpPr>
        <xdr:cNvPr id="11" name="Скругленный прямоугольник 10">
          <a:hlinkClick xmlns:r="http://schemas.openxmlformats.org/officeDocument/2006/relationships" r:id="rId5"/>
        </xdr:cNvPr>
        <xdr:cNvSpPr/>
      </xdr:nvSpPr>
      <xdr:spPr>
        <a:xfrm>
          <a:off x="11687175" y="447675"/>
          <a:ext cx="1485900" cy="542925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Вернуться к итоговым данным</a:t>
          </a:r>
        </a:p>
      </xdr:txBody>
    </xdr:sp>
    <xdr:clientData/>
  </xdr:twoCellAnchor>
  <xdr:twoCellAnchor>
    <xdr:from>
      <xdr:col>4</xdr:col>
      <xdr:colOff>1590675</xdr:colOff>
      <xdr:row>42</xdr:row>
      <xdr:rowOff>171451</xdr:rowOff>
    </xdr:from>
    <xdr:to>
      <xdr:col>9</xdr:col>
      <xdr:colOff>342900</xdr:colOff>
      <xdr:row>66</xdr:row>
      <xdr:rowOff>171451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257175</xdr:colOff>
      <xdr:row>43</xdr:row>
      <xdr:rowOff>9524</xdr:rowOff>
    </xdr:from>
    <xdr:to>
      <xdr:col>21</xdr:col>
      <xdr:colOff>466725</xdr:colOff>
      <xdr:row>71</xdr:row>
      <xdr:rowOff>133349</xdr:rowOff>
    </xdr:to>
    <xdr:graphicFrame macro="">
      <xdr:nvGraphicFramePr>
        <xdr:cNvPr id="8" name="Диаграмма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4986.915768287035" createdVersion="4" refreshedVersion="4" minRefreshableVersion="3" recordCount="3">
  <cacheSource type="worksheet">
    <worksheetSource name="Таблица13"/>
  </cacheSource>
  <cacheFields count="5">
    <cacheField name="ФИО" numFmtId="0">
      <sharedItems count="3">
        <s v="Поздняков А.Л"/>
        <s v="Чавкин Р.Р"/>
        <s v="Панфилова М.В"/>
      </sharedItems>
    </cacheField>
    <cacheField name="Количество выставленных счетов" numFmtId="0">
      <sharedItems containsSemiMixedTypes="0" containsString="0" containsNumber="1" containsInteger="1" minValue="523" maxValue="1239" count="3">
        <n v="1239"/>
        <n v="793"/>
        <n v="523"/>
      </sharedItems>
    </cacheField>
    <cacheField name="Количесто выставленных КП" numFmtId="0">
      <sharedItems containsSemiMixedTypes="0" containsString="0" containsNumber="1" containsInteger="1" minValue="440" maxValue="1037" count="3">
        <n v="440"/>
        <n v="1037"/>
        <n v="631"/>
      </sharedItems>
    </cacheField>
    <cacheField name="Количество КП и счетов" numFmtId="0">
      <sharedItems containsSemiMixedTypes="0" containsString="0" containsNumber="1" containsInteger="1" minValue="1154" maxValue="1830" count="3">
        <n v="1679"/>
        <n v="1830"/>
        <n v="1154"/>
      </sharedItems>
    </cacheField>
    <cacheField name="Сумма оплаченых счетов" numFmtId="164">
      <sharedItems containsSemiMixedTypes="0" containsString="0" containsNumber="1" minValue="55543660.489999987" maxValue="61218758.940000005" count="3">
        <n v="61218758.940000005"/>
        <n v="58316743.010000013"/>
        <n v="55543660.489999987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User" refreshedDate="44986.982108101853" createdVersion="4" refreshedVersion="4" minRefreshableVersion="3" recordCount="3">
  <cacheSource type="worksheet">
    <worksheetSource name="Таблица1"/>
  </cacheSource>
  <cacheFields count="5">
    <cacheField name="ФИО" numFmtId="0">
      <sharedItems count="3">
        <s v="Поздняков А.Л"/>
        <s v="Чавкин Р.Р"/>
        <s v="Панфилова М.В"/>
      </sharedItems>
    </cacheField>
    <cacheField name="Количество выставленных счетов" numFmtId="0">
      <sharedItems containsSemiMixedTypes="0" containsString="0" containsNumber="1" containsInteger="1" minValue="523" maxValue="1300" count="3">
        <n v="1300"/>
        <n v="793"/>
        <n v="523"/>
      </sharedItems>
    </cacheField>
    <cacheField name="Количесто выставленных КП" numFmtId="0">
      <sharedItems containsSemiMixedTypes="0" containsString="0" containsNumber="1" containsInteger="1" minValue="440" maxValue="1037" count="3">
        <n v="440"/>
        <n v="1037"/>
        <n v="631"/>
      </sharedItems>
    </cacheField>
    <cacheField name="Количество КП и счетов" numFmtId="0">
      <sharedItems containsSemiMixedTypes="0" containsString="0" containsNumber="1" containsInteger="1" minValue="1154" maxValue="1830" count="3">
        <n v="1740"/>
        <n v="1830"/>
        <n v="1154"/>
      </sharedItems>
    </cacheField>
    <cacheField name="Сумма оплаченых счетов" numFmtId="164">
      <sharedItems containsSemiMixedTypes="0" containsString="0" containsNumber="1" minValue="55543660.489999987" maxValue="61218758.940000005" count="3">
        <n v="61218758.940000005"/>
        <n v="58316743.010000013"/>
        <n v="55543660.489999987"/>
      </sharedItems>
    </cacheField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">
  <r>
    <x v="0"/>
    <x v="0"/>
    <x v="0"/>
    <x v="0"/>
    <x v="0"/>
  </r>
  <r>
    <x v="1"/>
    <x v="1"/>
    <x v="1"/>
    <x v="1"/>
    <x v="1"/>
  </r>
  <r>
    <x v="2"/>
    <x v="2"/>
    <x v="2"/>
    <x v="2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">
  <r>
    <x v="0"/>
    <x v="0"/>
    <x v="0"/>
    <x v="0"/>
    <x v="0"/>
  </r>
  <r>
    <x v="1"/>
    <x v="1"/>
    <x v="1"/>
    <x v="1"/>
    <x v="1"/>
  </r>
  <r>
    <x v="2"/>
    <x v="2"/>
    <x v="2"/>
    <x v="2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Таблица2" cacheId="3" applyNumberFormats="0" applyBorderFormats="0" applyFontFormats="0" applyPatternFormats="0" applyAlignmentFormats="0" applyWidthHeightFormats="1" dataCaption="Значения" updatedVersion="4" minRefreshableVersion="3" useAutoFormatting="1" itemPrintTitles="1" createdVersion="4" indent="0" outline="1" outlineData="1" multipleFieldFilters="0" chartFormat="5">
  <location ref="A3:B6" firstHeaderRow="1" firstDataRow="1" firstDataCol="1"/>
  <pivotFields count="5">
    <pivotField axis="axisRow" showAll="0">
      <items count="4">
        <item x="2"/>
        <item x="0"/>
        <item h="1" x="1"/>
        <item t="default"/>
      </items>
    </pivotField>
    <pivotField showAll="0">
      <items count="4">
        <item x="2"/>
        <item x="1"/>
        <item x="0"/>
        <item t="default"/>
      </items>
    </pivotField>
    <pivotField showAll="0">
      <items count="4">
        <item x="0"/>
        <item x="2"/>
        <item x="1"/>
        <item t="default"/>
      </items>
    </pivotField>
    <pivotField showAll="0">
      <items count="4">
        <item x="2"/>
        <item x="0"/>
        <item x="1"/>
        <item t="default"/>
      </items>
    </pivotField>
    <pivotField dataField="1" numFmtId="164" showAll="0">
      <items count="4">
        <item x="2"/>
        <item x="1"/>
        <item x="0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Сумма по полю Сумма оплаченых счетов" fld="4" baseField="0" baseItem="0"/>
  </dataFields>
  <chartFormats count="4">
    <chartFormat chart="0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СводнаяТаблица3" cacheId="2" applyNumberFormats="0" applyBorderFormats="0" applyFontFormats="0" applyPatternFormats="0" applyAlignmentFormats="0" applyWidthHeightFormats="1" dataCaption="Значения" updatedVersion="4" minRefreshableVersion="3" useAutoFormatting="1" itemPrintTitles="1" createdVersion="4" indent="0" outline="1" outlineData="1" multipleFieldFilters="0" chartFormat="7">
  <location ref="A1:B5" firstHeaderRow="1" firstDataRow="1" firstDataCol="1"/>
  <pivotFields count="5">
    <pivotField axis="axisRow" showAll="0">
      <items count="4">
        <item x="2"/>
        <item x="0"/>
        <item x="1"/>
        <item t="default"/>
      </items>
    </pivotField>
    <pivotField dataField="1" showAll="0"/>
    <pivotField showAll="0"/>
    <pivotField showAll="0"/>
    <pivotField numFmtId="164"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Сумма по полю Количество выставленных счетов" fld="1" baseField="0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5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СводнаяТаблица4" cacheId="2" applyNumberFormats="0" applyBorderFormats="0" applyFontFormats="0" applyPatternFormats="0" applyAlignmentFormats="0" applyWidthHeightFormats="1" dataCaption="Значения" updatedVersion="4" minRefreshableVersion="3" useAutoFormatting="1" itemPrintTitles="1" createdVersion="4" indent="0" outline="1" outlineData="1" multipleFieldFilters="0" chartFormat="5">
  <location ref="A1:B5" firstHeaderRow="1" firstDataRow="1" firstDataCol="1"/>
  <pivotFields count="5">
    <pivotField axis="axisRow" showAll="0">
      <items count="4">
        <item x="2"/>
        <item x="0"/>
        <item x="1"/>
        <item t="default"/>
      </items>
    </pivotField>
    <pivotField showAll="0"/>
    <pivotField showAll="0"/>
    <pivotField dataField="1" showAll="0"/>
    <pivotField numFmtId="164"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Сумма по полю Количество КП и счетов" fld="3" baseField="0" baseItem="0"/>
  </dataFields>
  <chartFormats count="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4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Таблица13" displayName="Таблица13" ref="A1:E4" totalsRowShown="0" headerRowDxfId="18" dataDxfId="16" headerRowBorderDxfId="17" tableBorderDxfId="15" totalsRowBorderDxfId="14">
  <autoFilter ref="A1:E4"/>
  <tableColumns count="5">
    <tableColumn id="1" name="ФИО" dataDxfId="13"/>
    <tableColumn id="2" name="Количество выставленных счетов" dataDxfId="12"/>
    <tableColumn id="3" name="Количесто выставленных КП" dataDxfId="11"/>
    <tableColumn id="4" name="Количество КП и счетов" dataDxfId="10">
      <calculatedColumnFormula>SUM(B2,C2)</calculatedColumnFormula>
    </tableColumn>
    <tableColumn id="5" name="Сумма оплаченых счетов" dataDxfId="9" dataCellStyle="Финансовый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Подготовка" displayName="Подготовка" ref="B3:H6" totalsRowShown="0" headerRowDxfId="8">
  <autoFilter ref="B3:H6"/>
  <tableColumns count="7">
    <tableColumn id="1" name="ФИО" dataDxfId="7"/>
    <tableColumn id="2" name="Количество выставленных счетов"/>
    <tableColumn id="3" name="Количество выставленных КП"/>
    <tableColumn id="4" name="Сумма счетов и КП">
      <calculatedColumnFormula>SUM(C4,D4)</calculatedColumnFormula>
    </tableColumn>
    <tableColumn id="5" name="Сумма продаж" dataDxfId="6"/>
    <tableColumn id="6" name="Время переработки" dataDxfId="5"/>
    <tableColumn id="7" name="Сумма оплаты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Таблица1" displayName="Таблица1" ref="B9:E12" totalsRowShown="0" headerRowDxfId="4" tableBorderDxfId="3">
  <autoFilter ref="B9:E12"/>
  <tableColumns count="4">
    <tableColumn id="1" name="ФИО"/>
    <tableColumn id="2" name="Сумма  КП" dataDxfId="2"/>
    <tableColumn id="3" name="Сумма КП И СЧЕТОВ" dataDxfId="1"/>
    <tableColumn id="8" name="Конверсия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Arial"/>
        <a:cs typeface="Arial"/>
      </a:majorFont>
      <a:minorFont>
        <a:latin typeface="Calibri"/>
        <a:ea typeface="Arial"/>
        <a:cs typeface="Arial"/>
      </a:minorFont>
    </a:fontScheme>
    <a:fmtScheme name="Стандартная">
      <a:fillStyleLst>
        <a:solidFill>
          <a:schemeClr val="phClr"/>
        </a:solidFill>
        <a:gradFill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/>
        </a:gradFill>
        <a:gradFill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/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Стандартная">
    <a:majorFont>
      <a:latin typeface="Cambria"/>
      <a:ea typeface="Arial"/>
      <a:cs typeface="Arial"/>
    </a:majorFont>
    <a:minorFont>
      <a:latin typeface="Calibri"/>
      <a:ea typeface="Arial"/>
      <a:cs typeface="Arial"/>
    </a:minorFont>
  </a:fontScheme>
  <a:fmtScheme name="Стандартная">
    <a:fillStyleLst>
      <a:solidFill>
        <a:schemeClr val="phClr"/>
      </a:solidFill>
      <a:gradFill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</a:effectStyleLst>
    <a:bgFillStyleLst>
      <a:solidFill>
        <a:schemeClr val="phClr"/>
      </a:solidFill>
      <a:gradFill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/>
      </a:gradFill>
      <a:gradFill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2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A4"/>
  <sheetViews>
    <sheetView showGridLines="0" showRowColHeaders="0" tabSelected="1" zoomScale="75" zoomScaleNormal="75" workbookViewId="0"/>
  </sheetViews>
  <sheetFormatPr defaultRowHeight="15" x14ac:dyDescent="0.25"/>
  <cols>
    <col min="1" max="16384" width="9.140625" style="85"/>
  </cols>
  <sheetData>
    <row r="4" spans="27:27" x14ac:dyDescent="0.25">
      <c r="AA4" s="90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H7"/>
  <sheetViews>
    <sheetView topLeftCell="E1" zoomScale="85" workbookViewId="0">
      <selection activeCell="F4" sqref="F4"/>
    </sheetView>
  </sheetViews>
  <sheetFormatPr defaultRowHeight="15" x14ac:dyDescent="0.25"/>
  <cols>
    <col min="1" max="1" width="24.28515625" customWidth="1"/>
    <col min="2" max="2" width="27.28515625" customWidth="1"/>
    <col min="3" max="3" width="26" customWidth="1"/>
    <col min="4" max="4" width="30.7109375" customWidth="1"/>
    <col min="5" max="5" width="23.42578125" customWidth="1"/>
    <col min="6" max="6" width="31.5703125" customWidth="1"/>
    <col min="7" max="7" width="21.5703125" customWidth="1"/>
    <col min="8" max="8" width="29.42578125" customWidth="1"/>
    <col min="9" max="9" width="16" customWidth="1"/>
    <col min="10" max="10" width="20.7109375" customWidth="1"/>
    <col min="11" max="11" width="18.42578125" customWidth="1"/>
    <col min="12" max="12" width="23.7109375" customWidth="1"/>
    <col min="13" max="13" width="15.85546875" customWidth="1"/>
    <col min="14" max="14" width="20.28515625" customWidth="1"/>
    <col min="19" max="19" width="27.140625" customWidth="1"/>
    <col min="20" max="20" width="35" customWidth="1"/>
  </cols>
  <sheetData>
    <row r="1" spans="1:8" ht="41.25" customHeight="1" x14ac:dyDescent="0.3">
      <c r="A1" s="1"/>
      <c r="B1" s="2" t="s">
        <v>0</v>
      </c>
      <c r="C1" s="2" t="s">
        <v>1</v>
      </c>
      <c r="D1" s="2" t="s">
        <v>2</v>
      </c>
      <c r="E1" s="21"/>
      <c r="F1" s="22" t="s">
        <v>0</v>
      </c>
      <c r="G1" s="22" t="s">
        <v>1</v>
      </c>
      <c r="H1" s="22"/>
    </row>
    <row r="2" spans="1:8" ht="57" customHeight="1" x14ac:dyDescent="0.25">
      <c r="A2" s="2" t="s">
        <v>3</v>
      </c>
      <c r="B2" s="3">
        <v>165</v>
      </c>
      <c r="C2" s="2">
        <v>51</v>
      </c>
      <c r="D2" s="2">
        <v>123</v>
      </c>
      <c r="E2" s="22" t="s">
        <v>3</v>
      </c>
      <c r="F2" s="23">
        <v>165</v>
      </c>
      <c r="G2" s="22">
        <v>51</v>
      </c>
      <c r="H2" s="22"/>
    </row>
    <row r="3" spans="1:8" ht="43.5" customHeight="1" x14ac:dyDescent="0.25">
      <c r="A3" s="2" t="s">
        <v>5</v>
      </c>
      <c r="B3" s="4">
        <v>20899546.809999999</v>
      </c>
      <c r="C3" s="5">
        <v>6900993.9000000004</v>
      </c>
      <c r="D3" s="6">
        <v>19921636.239999998</v>
      </c>
      <c r="E3" s="22" t="s">
        <v>47</v>
      </c>
      <c r="F3" s="24">
        <v>20899546.809999999</v>
      </c>
      <c r="G3" s="25">
        <v>6900993.9000000004</v>
      </c>
      <c r="H3" s="26"/>
    </row>
    <row r="4" spans="1:8" ht="43.5" customHeight="1" x14ac:dyDescent="0.25">
      <c r="A4" s="8" t="s">
        <v>8</v>
      </c>
      <c r="B4" s="6">
        <v>3017701</v>
      </c>
      <c r="C4" s="5">
        <v>3092136.1</v>
      </c>
      <c r="D4" s="9">
        <v>8331123.1299999999</v>
      </c>
      <c r="E4" s="27" t="s">
        <v>48</v>
      </c>
      <c r="F4" s="26">
        <v>3017701</v>
      </c>
      <c r="G4" s="25">
        <v>3092136.1</v>
      </c>
      <c r="H4" s="28"/>
    </row>
    <row r="5" spans="1:8" ht="61.5" customHeight="1" x14ac:dyDescent="0.25">
      <c r="A5" s="2" t="s">
        <v>4</v>
      </c>
      <c r="B5" s="2">
        <v>42</v>
      </c>
      <c r="C5" s="2">
        <v>56</v>
      </c>
      <c r="D5" s="2">
        <v>93</v>
      </c>
      <c r="E5" s="22" t="s">
        <v>4</v>
      </c>
      <c r="F5" s="22">
        <v>42</v>
      </c>
      <c r="G5" s="22">
        <v>56</v>
      </c>
      <c r="H5" s="22"/>
    </row>
    <row r="6" spans="1:8" ht="54.75" customHeight="1" x14ac:dyDescent="0.25">
      <c r="A6" s="2" t="s">
        <v>6</v>
      </c>
      <c r="B6" s="10">
        <v>44614842.840000004</v>
      </c>
      <c r="C6" s="7">
        <v>40155118.909999996</v>
      </c>
      <c r="D6" s="9">
        <v>62826347.219999999</v>
      </c>
      <c r="E6" s="22" t="s">
        <v>6</v>
      </c>
      <c r="F6" s="29">
        <v>44614842.840000004</v>
      </c>
      <c r="G6" s="30">
        <v>40155118.909999996</v>
      </c>
      <c r="H6" s="28"/>
    </row>
    <row r="7" spans="1:8" ht="43.5" customHeight="1" x14ac:dyDescent="0.25">
      <c r="A7" s="8" t="s">
        <v>7</v>
      </c>
      <c r="B7" s="6">
        <f>B3+B6</f>
        <v>65514389.650000006</v>
      </c>
      <c r="C7" s="5">
        <f>C6+C3</f>
        <v>47056112.809999995</v>
      </c>
      <c r="D7" s="9">
        <f>D6+D3</f>
        <v>82747983.459999993</v>
      </c>
      <c r="E7" s="27" t="s">
        <v>49</v>
      </c>
      <c r="F7" s="26">
        <f>F3+F6</f>
        <v>65514389.650000006</v>
      </c>
      <c r="G7" s="25">
        <f>G6+G3</f>
        <v>47056112.809999995</v>
      </c>
      <c r="H7" s="28"/>
    </row>
  </sheetData>
  <pageMargins left="0.7" right="0.7" top="0.75" bottom="0.75" header="0.3" footer="0.3"/>
  <pageSetup paperSize="9" firstPageNumber="4294967295" orientation="portrait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D7"/>
  <sheetViews>
    <sheetView workbookViewId="0">
      <selection activeCell="B4" sqref="B4"/>
    </sheetView>
  </sheetViews>
  <sheetFormatPr defaultRowHeight="15" x14ac:dyDescent="0.25"/>
  <cols>
    <col min="1" max="1" width="22.28515625" customWidth="1"/>
    <col min="2" max="2" width="23.5703125" customWidth="1"/>
    <col min="3" max="3" width="25.42578125" customWidth="1"/>
    <col min="4" max="4" width="21.140625" customWidth="1"/>
  </cols>
  <sheetData>
    <row r="1" spans="1:4" ht="57.75" customHeight="1" x14ac:dyDescent="0.25">
      <c r="A1" s="21"/>
      <c r="B1" s="22" t="s">
        <v>0</v>
      </c>
      <c r="C1" s="22" t="s">
        <v>1</v>
      </c>
      <c r="D1" s="22"/>
    </row>
    <row r="2" spans="1:4" ht="34.5" customHeight="1" x14ac:dyDescent="0.25">
      <c r="A2" s="22" t="s">
        <v>3</v>
      </c>
      <c r="B2" s="23">
        <v>116</v>
      </c>
      <c r="C2" s="22">
        <v>57</v>
      </c>
      <c r="D2" s="22"/>
    </row>
    <row r="3" spans="1:4" ht="33" customHeight="1" x14ac:dyDescent="0.25">
      <c r="A3" s="22" t="s">
        <v>47</v>
      </c>
      <c r="B3" s="24" t="s">
        <v>46</v>
      </c>
      <c r="C3" s="26"/>
      <c r="D3" s="25"/>
    </row>
    <row r="4" spans="1:4" ht="49.5" customHeight="1" x14ac:dyDescent="0.25">
      <c r="A4" s="27" t="s">
        <v>48</v>
      </c>
      <c r="B4" s="26">
        <v>954221.92</v>
      </c>
      <c r="C4" s="28"/>
      <c r="D4" s="25"/>
    </row>
    <row r="5" spans="1:4" ht="30.75" customHeight="1" x14ac:dyDescent="0.25">
      <c r="A5" s="22" t="s">
        <v>4</v>
      </c>
      <c r="B5" s="22">
        <v>19</v>
      </c>
      <c r="C5" s="22">
        <v>7</v>
      </c>
      <c r="D5" s="22"/>
    </row>
    <row r="6" spans="1:4" ht="47.25" customHeight="1" x14ac:dyDescent="0.25">
      <c r="A6" s="22" t="s">
        <v>6</v>
      </c>
      <c r="B6" s="29">
        <v>449903.03</v>
      </c>
      <c r="C6" s="28">
        <v>40769.599999999999</v>
      </c>
      <c r="D6" s="30"/>
    </row>
    <row r="7" spans="1:4" ht="60" customHeight="1" x14ac:dyDescent="0.25">
      <c r="A7" s="27" t="s">
        <v>49</v>
      </c>
      <c r="B7" s="26">
        <f>SUM(B4:B6)</f>
        <v>1404143.9500000002</v>
      </c>
      <c r="C7" s="28">
        <f>C6+C3</f>
        <v>40769.599999999999</v>
      </c>
      <c r="D7" s="25"/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U24"/>
  <sheetViews>
    <sheetView topLeftCell="A7" zoomScaleNormal="100" workbookViewId="0">
      <selection activeCell="C21" sqref="C21"/>
    </sheetView>
  </sheetViews>
  <sheetFormatPr defaultRowHeight="15" x14ac:dyDescent="0.25"/>
  <cols>
    <col min="1" max="1" width="23.7109375" customWidth="1"/>
    <col min="2" max="2" width="23.42578125" customWidth="1"/>
    <col min="3" max="3" width="23.5703125" customWidth="1"/>
    <col min="4" max="4" width="23.42578125" customWidth="1"/>
    <col min="7" max="7" width="9.140625" customWidth="1"/>
    <col min="12" max="12" width="16.85546875" customWidth="1"/>
    <col min="15" max="15" width="18.42578125" customWidth="1"/>
    <col min="16" max="16" width="15" customWidth="1"/>
    <col min="18" max="18" width="15.5703125" customWidth="1"/>
    <col min="21" max="21" width="15.7109375" customWidth="1"/>
  </cols>
  <sheetData>
    <row r="1" spans="1:21" ht="18.75" x14ac:dyDescent="0.3">
      <c r="A1" s="1"/>
      <c r="B1" s="2" t="s">
        <v>0</v>
      </c>
      <c r="C1" s="2" t="s">
        <v>1</v>
      </c>
      <c r="D1" s="2"/>
      <c r="L1" s="34"/>
      <c r="O1" s="40">
        <v>59111.25</v>
      </c>
      <c r="P1" s="39"/>
      <c r="Q1" s="42" t="s">
        <v>50</v>
      </c>
      <c r="R1" s="40">
        <v>656791.15</v>
      </c>
      <c r="U1" s="35"/>
    </row>
    <row r="2" spans="1:21" ht="42.75" customHeight="1" x14ac:dyDescent="0.25">
      <c r="A2" s="22" t="s">
        <v>3</v>
      </c>
      <c r="B2" s="23">
        <v>56</v>
      </c>
      <c r="C2" s="22">
        <v>18</v>
      </c>
      <c r="D2" s="22"/>
      <c r="L2" s="34"/>
      <c r="O2" s="40">
        <v>6715297.2000000002</v>
      </c>
      <c r="P2" s="37"/>
      <c r="Q2" s="42" t="s">
        <v>50</v>
      </c>
      <c r="R2" s="40">
        <v>1237245.8</v>
      </c>
      <c r="U2" s="35"/>
    </row>
    <row r="3" spans="1:21" ht="15.75" x14ac:dyDescent="0.25">
      <c r="A3" s="22" t="s">
        <v>47</v>
      </c>
      <c r="B3" s="24"/>
      <c r="C3" s="25"/>
      <c r="D3" s="26"/>
      <c r="L3" s="34"/>
      <c r="O3" s="40">
        <v>747078.75</v>
      </c>
      <c r="P3" s="37"/>
      <c r="Q3" s="42" t="s">
        <v>50</v>
      </c>
      <c r="R3" s="40">
        <v>270836.15000000002</v>
      </c>
      <c r="U3" s="35"/>
    </row>
    <row r="4" spans="1:21" ht="64.5" customHeight="1" x14ac:dyDescent="0.25">
      <c r="A4" s="27" t="s">
        <v>48</v>
      </c>
      <c r="B4" s="26"/>
      <c r="C4" s="25"/>
      <c r="D4" s="28"/>
      <c r="L4" s="34"/>
      <c r="O4" s="40">
        <v>364652</v>
      </c>
      <c r="P4" s="37"/>
      <c r="Q4" s="42" t="s">
        <v>50</v>
      </c>
      <c r="R4" s="40">
        <v>10781.4</v>
      </c>
      <c r="U4" s="35"/>
    </row>
    <row r="5" spans="1:21" ht="15.75" x14ac:dyDescent="0.25">
      <c r="A5" s="22" t="s">
        <v>4</v>
      </c>
      <c r="B5" s="22">
        <v>18</v>
      </c>
      <c r="C5" s="22">
        <v>15</v>
      </c>
      <c r="D5" s="22"/>
      <c r="L5" s="34"/>
      <c r="O5" s="40">
        <v>39013.800000000003</v>
      </c>
      <c r="P5" s="37"/>
      <c r="Q5" s="42" t="s">
        <v>50</v>
      </c>
      <c r="R5" s="40">
        <v>613763.05000000005</v>
      </c>
      <c r="U5" s="35"/>
    </row>
    <row r="6" spans="1:21" ht="37.5" customHeight="1" x14ac:dyDescent="0.25">
      <c r="A6" s="22" t="s">
        <v>6</v>
      </c>
      <c r="B6" s="43">
        <v>65658577.93</v>
      </c>
      <c r="C6" s="41">
        <v>12873817.930000002</v>
      </c>
      <c r="D6" s="28"/>
      <c r="L6" s="34"/>
      <c r="O6" s="40">
        <v>42570</v>
      </c>
      <c r="P6" s="37"/>
      <c r="Q6" s="42" t="s">
        <v>50</v>
      </c>
      <c r="R6" s="40">
        <v>1511449.67</v>
      </c>
      <c r="U6" s="35"/>
    </row>
    <row r="7" spans="1:21" ht="72" customHeight="1" x14ac:dyDescent="0.25">
      <c r="A7" s="27" t="s">
        <v>49</v>
      </c>
      <c r="B7" s="26">
        <f>B3+B6</f>
        <v>65658577.93</v>
      </c>
      <c r="C7" s="25">
        <f>C6+C3</f>
        <v>12873817.930000002</v>
      </c>
      <c r="D7" s="28"/>
      <c r="L7" s="34"/>
      <c r="O7" s="40">
        <v>277654.34999999998</v>
      </c>
      <c r="P7" s="37"/>
      <c r="Q7" s="42" t="s">
        <v>50</v>
      </c>
      <c r="R7" s="40">
        <v>30852</v>
      </c>
      <c r="U7" s="35"/>
    </row>
    <row r="8" spans="1:21" x14ac:dyDescent="0.25">
      <c r="L8" s="34"/>
      <c r="O8" s="40">
        <v>110506.95</v>
      </c>
      <c r="P8" s="37"/>
      <c r="Q8" s="42" t="s">
        <v>50</v>
      </c>
      <c r="R8" s="40">
        <v>44189242.200000003</v>
      </c>
      <c r="U8" s="35"/>
    </row>
    <row r="9" spans="1:21" x14ac:dyDescent="0.25">
      <c r="L9" s="32"/>
      <c r="O9" s="40">
        <v>33984</v>
      </c>
      <c r="P9" s="37"/>
      <c r="Q9" s="42" t="s">
        <v>50</v>
      </c>
      <c r="R9" s="40">
        <v>5960732.9000000004</v>
      </c>
      <c r="U9" s="35"/>
    </row>
    <row r="10" spans="1:21" x14ac:dyDescent="0.25">
      <c r="L10" s="32"/>
      <c r="O10" s="40">
        <v>124032</v>
      </c>
      <c r="P10" s="37"/>
      <c r="Q10" s="42" t="s">
        <v>50</v>
      </c>
      <c r="R10" s="40">
        <v>827280.16</v>
      </c>
      <c r="U10" s="35"/>
    </row>
    <row r="11" spans="1:21" x14ac:dyDescent="0.25">
      <c r="L11" s="32"/>
      <c r="O11" s="40">
        <v>80730.960000000006</v>
      </c>
      <c r="P11" s="37"/>
      <c r="Q11" s="42" t="s">
        <v>11</v>
      </c>
      <c r="R11" s="40">
        <v>1013461.7</v>
      </c>
      <c r="U11" s="35"/>
    </row>
    <row r="12" spans="1:21" x14ac:dyDescent="0.25">
      <c r="L12" s="32"/>
      <c r="O12" s="40">
        <v>21257.95</v>
      </c>
      <c r="P12" s="37"/>
      <c r="Q12" s="42" t="s">
        <v>50</v>
      </c>
      <c r="R12" s="40">
        <v>2879563</v>
      </c>
      <c r="U12" s="35"/>
    </row>
    <row r="13" spans="1:21" x14ac:dyDescent="0.25">
      <c r="L13" s="32"/>
      <c r="O13" s="40">
        <v>3982189.4</v>
      </c>
      <c r="P13" s="37"/>
      <c r="Q13" s="42" t="s">
        <v>50</v>
      </c>
      <c r="R13" s="40">
        <v>1873134</v>
      </c>
      <c r="U13" s="35"/>
    </row>
    <row r="14" spans="1:21" x14ac:dyDescent="0.25">
      <c r="L14" s="32"/>
      <c r="O14" s="40">
        <v>267830.59999999998</v>
      </c>
      <c r="P14" s="37"/>
      <c r="Q14" s="42" t="s">
        <v>50</v>
      </c>
      <c r="R14" s="40">
        <v>117825.55</v>
      </c>
      <c r="U14" s="35"/>
    </row>
    <row r="15" spans="1:21" x14ac:dyDescent="0.25">
      <c r="O15" s="40">
        <v>7908.72</v>
      </c>
      <c r="P15" s="37"/>
      <c r="Q15" s="42" t="s">
        <v>50</v>
      </c>
      <c r="R15" s="40">
        <v>504012.5</v>
      </c>
      <c r="U15" s="35"/>
    </row>
    <row r="16" spans="1:21" x14ac:dyDescent="0.25">
      <c r="O16" s="16">
        <f>SUM(O1:O15)</f>
        <v>12873817.930000002</v>
      </c>
      <c r="P16" s="37"/>
      <c r="Q16" s="42" t="s">
        <v>50</v>
      </c>
      <c r="R16" s="40">
        <v>548950</v>
      </c>
    </row>
    <row r="17" spans="15:18" x14ac:dyDescent="0.25">
      <c r="P17" s="37"/>
      <c r="Q17" s="42" t="s">
        <v>50</v>
      </c>
      <c r="R17" s="40">
        <v>3214107.67</v>
      </c>
    </row>
    <row r="18" spans="15:18" x14ac:dyDescent="0.25">
      <c r="P18" s="36"/>
      <c r="Q18" s="42" t="s">
        <v>50</v>
      </c>
      <c r="R18" s="40">
        <v>157604.20000000001</v>
      </c>
    </row>
    <row r="19" spans="15:18" x14ac:dyDescent="0.25">
      <c r="P19" s="38"/>
      <c r="Q19" s="42" t="s">
        <v>50</v>
      </c>
      <c r="R19" s="40">
        <v>40944.83</v>
      </c>
    </row>
    <row r="20" spans="15:18" x14ac:dyDescent="0.25">
      <c r="P20" s="37"/>
      <c r="R20" s="16">
        <f>SUM(R1:R19)</f>
        <v>65658577.93</v>
      </c>
    </row>
    <row r="24" spans="15:18" x14ac:dyDescent="0.25">
      <c r="O24" s="32"/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T58"/>
  <sheetViews>
    <sheetView topLeftCell="A13" workbookViewId="0">
      <selection activeCell="L46" sqref="L46:M46"/>
    </sheetView>
  </sheetViews>
  <sheetFormatPr defaultRowHeight="15" x14ac:dyDescent="0.25"/>
  <cols>
    <col min="1" max="1" width="17.5703125" customWidth="1"/>
    <col min="2" max="2" width="16" customWidth="1"/>
    <col min="5" max="5" width="14.7109375" customWidth="1"/>
    <col min="7" max="7" width="12.85546875" customWidth="1"/>
    <col min="10" max="10" width="5.85546875" customWidth="1"/>
    <col min="11" max="11" width="9.140625" hidden="1" customWidth="1"/>
    <col min="12" max="12" width="21" customWidth="1"/>
    <col min="13" max="13" width="21.85546875" customWidth="1"/>
    <col min="19" max="19" width="13.140625" customWidth="1"/>
    <col min="20" max="20" width="19.5703125" customWidth="1"/>
  </cols>
  <sheetData>
    <row r="1" spans="1:13" ht="15.75" x14ac:dyDescent="0.25">
      <c r="A1" s="44">
        <v>3462.9</v>
      </c>
      <c r="B1" s="45">
        <v>3462.9</v>
      </c>
      <c r="C1" s="46">
        <v>100</v>
      </c>
      <c r="D1" s="44">
        <v>3462.9</v>
      </c>
      <c r="E1" s="46">
        <v>100</v>
      </c>
      <c r="F1" s="47"/>
      <c r="G1" s="47"/>
      <c r="L1" s="54">
        <v>89256.6</v>
      </c>
      <c r="M1" s="45">
        <v>89256.6</v>
      </c>
    </row>
    <row r="2" spans="1:13" ht="15.75" x14ac:dyDescent="0.25">
      <c r="A2" s="44">
        <v>13851.6</v>
      </c>
      <c r="B2" s="45">
        <v>13851.6</v>
      </c>
      <c r="C2" s="46">
        <v>100</v>
      </c>
      <c r="D2" s="44">
        <v>13851.6</v>
      </c>
      <c r="E2" s="46">
        <v>100</v>
      </c>
      <c r="F2" s="47"/>
      <c r="G2" s="47"/>
      <c r="L2" s="54">
        <v>29056</v>
      </c>
      <c r="M2" s="45">
        <v>29056</v>
      </c>
    </row>
    <row r="3" spans="1:13" ht="15.75" x14ac:dyDescent="0.25">
      <c r="A3" s="44">
        <v>41706.699999999997</v>
      </c>
      <c r="B3" s="45">
        <v>41706.699999999997</v>
      </c>
      <c r="C3" s="46">
        <v>100</v>
      </c>
      <c r="D3" s="44">
        <v>41706.699999999997</v>
      </c>
      <c r="E3" s="46">
        <v>100</v>
      </c>
      <c r="F3" s="47"/>
      <c r="G3" s="47"/>
      <c r="L3" s="55"/>
      <c r="M3" s="55"/>
    </row>
    <row r="4" spans="1:13" ht="15.75" x14ac:dyDescent="0.25">
      <c r="A4" s="48">
        <v>45100.5</v>
      </c>
      <c r="B4" s="49"/>
      <c r="C4" s="49"/>
      <c r="D4" s="49"/>
      <c r="E4" s="49"/>
      <c r="F4" s="49"/>
      <c r="G4" s="49"/>
      <c r="L4" s="44">
        <v>155308</v>
      </c>
      <c r="M4" s="45">
        <v>155308</v>
      </c>
    </row>
    <row r="5" spans="1:13" ht="15.75" x14ac:dyDescent="0.25">
      <c r="A5" s="44">
        <v>13645.8</v>
      </c>
      <c r="B5" s="45">
        <v>13645.8</v>
      </c>
      <c r="C5" s="46">
        <v>100</v>
      </c>
      <c r="D5" s="44">
        <v>13645.8</v>
      </c>
      <c r="E5" s="46">
        <v>100</v>
      </c>
      <c r="F5" s="47"/>
      <c r="G5" s="47"/>
      <c r="L5" s="44">
        <v>136568.25</v>
      </c>
      <c r="M5" s="45">
        <v>136568.25</v>
      </c>
    </row>
    <row r="6" spans="1:13" ht="15.75" x14ac:dyDescent="0.25">
      <c r="A6" s="44">
        <v>17667.3</v>
      </c>
      <c r="B6" s="45">
        <v>17667.3</v>
      </c>
      <c r="C6" s="46">
        <v>100</v>
      </c>
      <c r="D6" s="44">
        <v>17667.3</v>
      </c>
      <c r="E6" s="46">
        <v>100</v>
      </c>
      <c r="F6" s="47"/>
      <c r="G6" s="47"/>
      <c r="L6" s="54">
        <v>13946.25</v>
      </c>
      <c r="M6" s="45">
        <v>13946.25</v>
      </c>
    </row>
    <row r="7" spans="1:13" ht="15.75" x14ac:dyDescent="0.25">
      <c r="A7" s="48">
        <v>2756013.4</v>
      </c>
      <c r="B7" s="49"/>
      <c r="C7" s="49"/>
      <c r="D7" s="49"/>
      <c r="E7" s="49"/>
      <c r="F7" s="49"/>
      <c r="G7" s="49"/>
      <c r="L7" s="54">
        <v>94379.55</v>
      </c>
      <c r="M7" s="45">
        <v>94379.55</v>
      </c>
    </row>
    <row r="8" spans="1:13" x14ac:dyDescent="0.25">
      <c r="A8" s="48">
        <v>204209.25</v>
      </c>
      <c r="B8" s="49"/>
      <c r="C8" s="49"/>
      <c r="D8" s="49"/>
      <c r="E8" s="49"/>
      <c r="F8" s="49"/>
      <c r="G8" s="49"/>
      <c r="L8" s="48">
        <v>21572.799999999999</v>
      </c>
      <c r="M8" s="49"/>
    </row>
    <row r="9" spans="1:13" ht="15.75" x14ac:dyDescent="0.25">
      <c r="A9" s="44">
        <v>437556</v>
      </c>
      <c r="B9" s="47"/>
      <c r="C9" s="47"/>
      <c r="D9" s="44">
        <v>437556</v>
      </c>
      <c r="E9" s="46">
        <v>100</v>
      </c>
      <c r="F9" s="47"/>
      <c r="G9" s="50">
        <v>437556</v>
      </c>
      <c r="L9" s="54">
        <v>326434.95</v>
      </c>
      <c r="M9" s="45">
        <v>326434.95</v>
      </c>
    </row>
    <row r="10" spans="1:13" x14ac:dyDescent="0.25">
      <c r="A10" s="44">
        <v>379609.3</v>
      </c>
      <c r="B10" s="47"/>
      <c r="C10" s="47"/>
      <c r="D10" s="44">
        <v>379609.3</v>
      </c>
      <c r="E10" s="46">
        <v>100</v>
      </c>
      <c r="F10" s="47"/>
      <c r="G10" s="50">
        <v>379609.3</v>
      </c>
      <c r="L10" s="48">
        <v>248776.8</v>
      </c>
      <c r="M10" s="49"/>
    </row>
    <row r="11" spans="1:13" x14ac:dyDescent="0.25">
      <c r="A11" s="48">
        <v>4722.75</v>
      </c>
      <c r="B11" s="49"/>
      <c r="C11" s="49"/>
      <c r="D11" s="49"/>
      <c r="E11" s="49"/>
      <c r="F11" s="49"/>
      <c r="G11" s="49"/>
      <c r="L11" s="48">
        <v>54844.2</v>
      </c>
      <c r="M11" s="49"/>
    </row>
    <row r="12" spans="1:13" ht="15.75" x14ac:dyDescent="0.25">
      <c r="A12" s="44">
        <v>10541.2</v>
      </c>
      <c r="B12" s="45">
        <v>10541.2</v>
      </c>
      <c r="C12" s="46">
        <v>100</v>
      </c>
      <c r="D12" s="44">
        <v>10541.2</v>
      </c>
      <c r="E12" s="46">
        <v>100</v>
      </c>
      <c r="F12" s="47"/>
      <c r="G12" s="47"/>
      <c r="L12" s="54">
        <v>11487</v>
      </c>
      <c r="M12" s="45">
        <v>11487</v>
      </c>
    </row>
    <row r="13" spans="1:13" ht="15.75" x14ac:dyDescent="0.25">
      <c r="A13" s="48">
        <v>9099</v>
      </c>
      <c r="B13" s="49"/>
      <c r="C13" s="49"/>
      <c r="D13" s="49"/>
      <c r="E13" s="49"/>
      <c r="F13" s="49"/>
      <c r="G13" s="49"/>
      <c r="L13" s="44">
        <v>11437.5</v>
      </c>
      <c r="M13" s="45">
        <v>11437.5</v>
      </c>
    </row>
    <row r="14" spans="1:13" ht="15.75" x14ac:dyDescent="0.25">
      <c r="A14" s="44">
        <v>4246.2</v>
      </c>
      <c r="B14" s="45">
        <v>4246.2</v>
      </c>
      <c r="C14" s="46">
        <v>100</v>
      </c>
      <c r="D14" s="44">
        <v>4246.2</v>
      </c>
      <c r="E14" s="46">
        <v>100</v>
      </c>
      <c r="F14" s="47"/>
      <c r="G14" s="47"/>
      <c r="L14" s="54">
        <v>62626.28</v>
      </c>
      <c r="M14" s="45">
        <v>62626.28</v>
      </c>
    </row>
    <row r="15" spans="1:13" ht="15.75" x14ac:dyDescent="0.25">
      <c r="A15" s="44">
        <v>12873</v>
      </c>
      <c r="B15" s="45">
        <v>12873</v>
      </c>
      <c r="C15" s="46">
        <v>100</v>
      </c>
      <c r="D15" s="44">
        <v>12873</v>
      </c>
      <c r="E15" s="46">
        <v>100</v>
      </c>
      <c r="F15" s="47"/>
      <c r="G15" s="47"/>
      <c r="L15" s="54">
        <v>18331.2</v>
      </c>
      <c r="M15" s="45">
        <v>18331.2</v>
      </c>
    </row>
    <row r="16" spans="1:13" ht="15.75" x14ac:dyDescent="0.25">
      <c r="A16" s="44">
        <v>17803.8</v>
      </c>
      <c r="B16" s="47"/>
      <c r="C16" s="47"/>
      <c r="D16" s="44">
        <v>17803.8</v>
      </c>
      <c r="E16" s="46">
        <v>100</v>
      </c>
      <c r="F16" s="47"/>
      <c r="G16" s="50">
        <v>17803.8</v>
      </c>
      <c r="L16" s="54">
        <v>12432.1</v>
      </c>
      <c r="M16" s="45">
        <v>12432.1</v>
      </c>
    </row>
    <row r="17" spans="1:20" ht="15.75" x14ac:dyDescent="0.25">
      <c r="A17" s="44">
        <v>17758.5</v>
      </c>
      <c r="B17" s="45">
        <v>17758.5</v>
      </c>
      <c r="C17" s="46">
        <v>100</v>
      </c>
      <c r="D17" s="44">
        <v>17758.5</v>
      </c>
      <c r="E17" s="46">
        <v>100</v>
      </c>
      <c r="F17" s="47"/>
      <c r="G17" s="47"/>
      <c r="L17" s="44">
        <v>283953.05</v>
      </c>
      <c r="M17" s="45">
        <v>283953.05</v>
      </c>
    </row>
    <row r="18" spans="1:20" ht="15.75" x14ac:dyDescent="0.25">
      <c r="A18" s="44">
        <v>177362.26</v>
      </c>
      <c r="B18" s="45">
        <v>177362.26</v>
      </c>
      <c r="C18" s="46">
        <v>100</v>
      </c>
      <c r="D18" s="44">
        <v>177362.26</v>
      </c>
      <c r="E18" s="46">
        <v>100</v>
      </c>
      <c r="F18" s="47"/>
      <c r="G18" s="47"/>
      <c r="L18" s="44">
        <v>28687</v>
      </c>
      <c r="M18" s="45">
        <v>28687</v>
      </c>
    </row>
    <row r="19" spans="1:20" ht="15.75" x14ac:dyDescent="0.25">
      <c r="A19" s="48">
        <v>67408</v>
      </c>
      <c r="B19" s="49"/>
      <c r="C19" s="49"/>
      <c r="D19" s="49"/>
      <c r="E19" s="49"/>
      <c r="F19" s="49"/>
      <c r="G19" s="49"/>
      <c r="L19" s="44">
        <v>346725.6</v>
      </c>
      <c r="M19" s="45">
        <v>346725.6</v>
      </c>
    </row>
    <row r="20" spans="1:20" ht="15.75" x14ac:dyDescent="0.25">
      <c r="A20" s="48">
        <v>1123311.1499999999</v>
      </c>
      <c r="B20" s="49"/>
      <c r="C20" s="49"/>
      <c r="D20" s="49"/>
      <c r="E20" s="49"/>
      <c r="F20" s="49"/>
      <c r="G20" s="49"/>
      <c r="L20" s="44">
        <v>7557.6</v>
      </c>
      <c r="M20" s="45">
        <v>7557.6</v>
      </c>
    </row>
    <row r="21" spans="1:20" ht="15.75" x14ac:dyDescent="0.25">
      <c r="A21" s="44">
        <v>244932.6</v>
      </c>
      <c r="B21" s="47"/>
      <c r="C21" s="47"/>
      <c r="D21" s="44">
        <v>244932.6</v>
      </c>
      <c r="E21" s="46">
        <v>100</v>
      </c>
      <c r="F21" s="47"/>
      <c r="G21" s="50">
        <v>244932.6</v>
      </c>
      <c r="L21" s="44">
        <v>9562.7999999999993</v>
      </c>
      <c r="M21" s="45">
        <v>9562.7999999999993</v>
      </c>
    </row>
    <row r="22" spans="1:20" ht="15.75" x14ac:dyDescent="0.25">
      <c r="A22" s="44">
        <v>66510</v>
      </c>
      <c r="B22" s="45">
        <v>66510</v>
      </c>
      <c r="C22" s="46">
        <v>100</v>
      </c>
      <c r="D22" s="44">
        <v>66510</v>
      </c>
      <c r="E22" s="46">
        <v>100</v>
      </c>
      <c r="F22" s="47"/>
      <c r="G22" s="47"/>
      <c r="L22" s="44">
        <v>245294.4</v>
      </c>
      <c r="M22" s="45">
        <v>245294.4</v>
      </c>
      <c r="S22" s="54">
        <v>93346.240000000005</v>
      </c>
      <c r="T22" s="45">
        <v>93346.240000000005</v>
      </c>
    </row>
    <row r="23" spans="1:20" x14ac:dyDescent="0.25">
      <c r="A23" s="48">
        <v>95760</v>
      </c>
      <c r="B23" s="49"/>
      <c r="C23" s="49"/>
      <c r="D23" s="49"/>
      <c r="E23" s="49"/>
      <c r="F23" s="49"/>
      <c r="G23" s="49"/>
      <c r="L23" s="48">
        <v>41964.75</v>
      </c>
      <c r="M23" s="49"/>
      <c r="S23" s="48">
        <v>57888</v>
      </c>
      <c r="T23" s="49"/>
    </row>
    <row r="24" spans="1:20" ht="15.75" x14ac:dyDescent="0.25">
      <c r="A24" s="44">
        <v>70777.64</v>
      </c>
      <c r="B24" s="47"/>
      <c r="C24" s="47"/>
      <c r="D24" s="44">
        <v>70777.64</v>
      </c>
      <c r="E24" s="46">
        <v>100</v>
      </c>
      <c r="F24" s="47"/>
      <c r="G24" s="50">
        <v>70777.64</v>
      </c>
      <c r="L24" s="44">
        <v>6337.5</v>
      </c>
      <c r="M24" s="45">
        <v>6337.5</v>
      </c>
      <c r="S24" s="54">
        <v>17299.2</v>
      </c>
      <c r="T24" s="45">
        <v>17299.2</v>
      </c>
    </row>
    <row r="25" spans="1:20" ht="15.75" x14ac:dyDescent="0.25">
      <c r="A25" s="48">
        <v>1941.8</v>
      </c>
      <c r="B25" s="49"/>
      <c r="C25" s="49"/>
      <c r="D25" s="49"/>
      <c r="E25" s="49"/>
      <c r="F25" s="49"/>
      <c r="G25" s="49"/>
      <c r="L25" s="48">
        <v>208576.5</v>
      </c>
      <c r="M25" s="49"/>
      <c r="S25" s="44">
        <v>35379</v>
      </c>
      <c r="T25" s="45">
        <v>35379</v>
      </c>
    </row>
    <row r="26" spans="1:20" ht="15.75" x14ac:dyDescent="0.25">
      <c r="A26" s="48">
        <v>1164.7</v>
      </c>
      <c r="B26" s="45">
        <v>1164.7</v>
      </c>
      <c r="C26" s="51">
        <v>100</v>
      </c>
      <c r="D26" s="49"/>
      <c r="E26" s="49"/>
      <c r="F26" s="48">
        <v>-1164.7</v>
      </c>
      <c r="G26" s="49"/>
      <c r="L26" s="44">
        <v>568179.75</v>
      </c>
      <c r="M26" s="45">
        <v>568179.75</v>
      </c>
      <c r="S26" s="54">
        <v>16539.3</v>
      </c>
      <c r="T26" s="45">
        <v>16539.3</v>
      </c>
    </row>
    <row r="27" spans="1:20" ht="15.75" x14ac:dyDescent="0.25">
      <c r="A27" s="44">
        <v>2934.4</v>
      </c>
      <c r="B27" s="45">
        <v>2934.4</v>
      </c>
      <c r="C27" s="46">
        <v>100</v>
      </c>
      <c r="D27" s="44">
        <v>2934.4</v>
      </c>
      <c r="E27" s="46">
        <v>100</v>
      </c>
      <c r="F27" s="47"/>
      <c r="G27" s="47"/>
      <c r="L27" s="44">
        <v>5851.2</v>
      </c>
      <c r="M27" s="45">
        <v>5851.2</v>
      </c>
      <c r="S27" s="44">
        <v>50940</v>
      </c>
      <c r="T27" s="45">
        <v>50940</v>
      </c>
    </row>
    <row r="28" spans="1:20" ht="15.75" x14ac:dyDescent="0.25">
      <c r="A28" s="48">
        <v>42256.800000000003</v>
      </c>
      <c r="B28" s="49"/>
      <c r="C28" s="49"/>
      <c r="D28" s="49"/>
      <c r="E28" s="49"/>
      <c r="F28" s="49"/>
      <c r="G28" s="49"/>
      <c r="L28" s="44">
        <v>34406.400000000001</v>
      </c>
      <c r="M28" s="45">
        <v>34406.400000000001</v>
      </c>
      <c r="S28" s="44">
        <v>179001.2</v>
      </c>
      <c r="T28" s="45">
        <v>179001.2</v>
      </c>
    </row>
    <row r="29" spans="1:20" ht="15.75" x14ac:dyDescent="0.25">
      <c r="A29" s="44">
        <v>20129.400000000001</v>
      </c>
      <c r="B29" s="47"/>
      <c r="C29" s="47"/>
      <c r="D29" s="44">
        <v>20129.400000000001</v>
      </c>
      <c r="E29" s="46">
        <v>100</v>
      </c>
      <c r="F29" s="47"/>
      <c r="G29" s="50">
        <v>20129.400000000001</v>
      </c>
      <c r="L29" s="44">
        <v>42693.75</v>
      </c>
      <c r="M29" s="45">
        <v>42693.75</v>
      </c>
      <c r="S29" s="44">
        <v>43859.6</v>
      </c>
      <c r="T29" s="45">
        <v>43859.6</v>
      </c>
    </row>
    <row r="30" spans="1:20" x14ac:dyDescent="0.25">
      <c r="A30" s="44">
        <v>31867.5</v>
      </c>
      <c r="B30" s="47"/>
      <c r="C30" s="47"/>
      <c r="D30" s="44">
        <v>31867.5</v>
      </c>
      <c r="E30" s="46">
        <v>100</v>
      </c>
      <c r="F30" s="47"/>
      <c r="G30" s="50">
        <v>31867.5</v>
      </c>
      <c r="L30" s="48">
        <v>26376</v>
      </c>
      <c r="M30" s="49"/>
      <c r="S30" s="48">
        <v>18459</v>
      </c>
      <c r="T30" s="49"/>
    </row>
    <row r="31" spans="1:20" ht="15.75" x14ac:dyDescent="0.25">
      <c r="A31" s="48">
        <v>79855.75</v>
      </c>
      <c r="B31" s="49"/>
      <c r="C31" s="49"/>
      <c r="D31" s="49"/>
      <c r="E31" s="49"/>
      <c r="F31" s="49"/>
      <c r="G31" s="49"/>
      <c r="L31" s="44">
        <v>13611</v>
      </c>
      <c r="M31" s="45">
        <v>13611</v>
      </c>
      <c r="S31" s="44">
        <v>18343.36</v>
      </c>
      <c r="T31" s="45">
        <v>18343.36</v>
      </c>
    </row>
    <row r="32" spans="1:20" ht="15.75" x14ac:dyDescent="0.25">
      <c r="A32" s="44">
        <v>64026.9</v>
      </c>
      <c r="B32" s="47"/>
      <c r="C32" s="47"/>
      <c r="D32" s="44">
        <v>64026.9</v>
      </c>
      <c r="E32" s="46">
        <v>100</v>
      </c>
      <c r="F32" s="47"/>
      <c r="G32" s="50">
        <v>64026.9</v>
      </c>
      <c r="L32" s="44">
        <v>261600</v>
      </c>
      <c r="M32" s="45">
        <v>261600</v>
      </c>
      <c r="S32" s="44">
        <v>142268.38</v>
      </c>
      <c r="T32" s="45">
        <v>142268.38</v>
      </c>
    </row>
    <row r="33" spans="1:20" ht="15.75" x14ac:dyDescent="0.25">
      <c r="A33" s="44">
        <v>11391.1</v>
      </c>
      <c r="B33" s="45">
        <v>11391.1</v>
      </c>
      <c r="C33" s="46">
        <v>100</v>
      </c>
      <c r="D33" s="44">
        <v>11391.1</v>
      </c>
      <c r="E33" s="46">
        <v>100</v>
      </c>
      <c r="F33" s="47"/>
      <c r="G33" s="47"/>
      <c r="L33" s="48">
        <v>44414.1</v>
      </c>
      <c r="M33" s="49"/>
      <c r="S33" s="55"/>
      <c r="T33" s="55"/>
    </row>
    <row r="34" spans="1:20" ht="15.75" x14ac:dyDescent="0.25">
      <c r="A34" s="48">
        <v>7117.6</v>
      </c>
      <c r="B34" s="49"/>
      <c r="C34" s="49"/>
      <c r="D34" s="49"/>
      <c r="E34" s="49"/>
      <c r="F34" s="49"/>
      <c r="G34" s="49"/>
      <c r="L34" s="44">
        <v>58140.75</v>
      </c>
      <c r="M34" s="45">
        <v>58140.75</v>
      </c>
      <c r="S34" s="54">
        <v>1435.5</v>
      </c>
      <c r="T34" s="45">
        <v>1435.5</v>
      </c>
    </row>
    <row r="35" spans="1:20" ht="15.75" x14ac:dyDescent="0.25">
      <c r="A35" s="44">
        <v>32515</v>
      </c>
      <c r="B35" s="47"/>
      <c r="C35" s="47"/>
      <c r="D35" s="44">
        <v>32515</v>
      </c>
      <c r="E35" s="46">
        <v>100</v>
      </c>
      <c r="F35" s="47"/>
      <c r="G35" s="50">
        <v>32515</v>
      </c>
      <c r="L35" s="44">
        <v>7320</v>
      </c>
      <c r="M35" s="45">
        <v>7320</v>
      </c>
      <c r="S35" s="48">
        <v>260874.56</v>
      </c>
      <c r="T35" s="49"/>
    </row>
    <row r="36" spans="1:20" ht="15.75" x14ac:dyDescent="0.25">
      <c r="A36" s="44">
        <v>12838</v>
      </c>
      <c r="B36" s="45">
        <v>12838</v>
      </c>
      <c r="C36" s="46">
        <v>100</v>
      </c>
      <c r="D36" s="44">
        <v>12838</v>
      </c>
      <c r="E36" s="46">
        <v>100</v>
      </c>
      <c r="F36" s="47"/>
      <c r="G36" s="47"/>
      <c r="L36" s="44">
        <v>17806.400000000001</v>
      </c>
      <c r="M36" s="45">
        <v>17806.400000000001</v>
      </c>
      <c r="S36" s="44">
        <v>66337.5</v>
      </c>
      <c r="T36" s="45">
        <v>66337.5</v>
      </c>
    </row>
    <row r="37" spans="1:20" ht="15.75" x14ac:dyDescent="0.25">
      <c r="A37" s="48">
        <v>34525.300000000003</v>
      </c>
      <c r="B37" s="49"/>
      <c r="C37" s="49"/>
      <c r="D37" s="49"/>
      <c r="E37" s="49"/>
      <c r="F37" s="49"/>
      <c r="G37" s="49"/>
      <c r="L37" s="48">
        <v>9478.4</v>
      </c>
      <c r="M37" s="48">
        <f>SUM(M1:M36)</f>
        <v>2898990.88</v>
      </c>
      <c r="S37" s="44">
        <v>450080</v>
      </c>
      <c r="T37" s="45">
        <v>450080</v>
      </c>
    </row>
    <row r="38" spans="1:20" ht="15.75" x14ac:dyDescent="0.25">
      <c r="A38" s="44">
        <v>56350</v>
      </c>
      <c r="B38" s="47"/>
      <c r="C38" s="47"/>
      <c r="D38" s="44">
        <v>56350</v>
      </c>
      <c r="E38" s="46">
        <v>100</v>
      </c>
      <c r="F38" s="47"/>
      <c r="G38" s="50">
        <v>56350</v>
      </c>
      <c r="L38" s="48">
        <v>21080</v>
      </c>
      <c r="M38" s="49"/>
      <c r="S38" s="54">
        <v>10969.25</v>
      </c>
      <c r="T38" s="45">
        <v>10969.25</v>
      </c>
    </row>
    <row r="39" spans="1:20" ht="15.75" x14ac:dyDescent="0.25">
      <c r="A39" s="48">
        <v>31020.799999999999</v>
      </c>
      <c r="B39" s="45">
        <v>31020.799999999999</v>
      </c>
      <c r="C39" s="51">
        <v>100</v>
      </c>
      <c r="D39" s="49"/>
      <c r="E39" s="49"/>
      <c r="F39" s="48">
        <v>-31020.799999999999</v>
      </c>
      <c r="G39" s="49"/>
      <c r="L39" s="48">
        <v>18360</v>
      </c>
      <c r="M39" s="49"/>
      <c r="S39" s="48">
        <v>87619.5</v>
      </c>
      <c r="T39" s="48">
        <f>SUM(T22:T38)</f>
        <v>1125798.53</v>
      </c>
    </row>
    <row r="40" spans="1:20" x14ac:dyDescent="0.25">
      <c r="A40" s="48">
        <v>4303203.2</v>
      </c>
      <c r="B40" s="49"/>
      <c r="C40" s="49"/>
      <c r="D40" s="49"/>
      <c r="E40" s="49"/>
      <c r="F40" s="49"/>
      <c r="G40" s="49"/>
      <c r="L40" s="48">
        <v>4428</v>
      </c>
      <c r="M40" s="49"/>
      <c r="S40" s="16">
        <f>SUM(S22:S39)</f>
        <v>1550639.59</v>
      </c>
    </row>
    <row r="41" spans="1:20" ht="15.75" x14ac:dyDescent="0.25">
      <c r="A41" s="48">
        <v>70654.8</v>
      </c>
      <c r="B41" s="45">
        <v>70654.8</v>
      </c>
      <c r="C41" s="51">
        <v>100</v>
      </c>
      <c r="D41" s="49"/>
      <c r="E41" s="49"/>
      <c r="F41" s="48">
        <v>-70654.8</v>
      </c>
      <c r="G41" s="49"/>
      <c r="L41" s="16">
        <f>SUM(L1:L40)</f>
        <v>3598862.43</v>
      </c>
      <c r="M41" s="48">
        <v>2898990.88</v>
      </c>
    </row>
    <row r="42" spans="1:20" x14ac:dyDescent="0.25">
      <c r="A42" s="48">
        <v>2496093.75</v>
      </c>
      <c r="B42" s="49"/>
      <c r="C42" s="49"/>
      <c r="D42" s="49"/>
      <c r="E42" s="49"/>
      <c r="F42" s="49"/>
      <c r="G42" s="49"/>
    </row>
    <row r="43" spans="1:20" x14ac:dyDescent="0.25">
      <c r="A43" s="48">
        <v>5683.5</v>
      </c>
      <c r="B43" s="49"/>
      <c r="C43" s="49"/>
      <c r="D43" s="49"/>
      <c r="E43" s="49"/>
      <c r="F43" s="49"/>
      <c r="G43" s="49"/>
    </row>
    <row r="44" spans="1:20" ht="15.75" x14ac:dyDescent="0.25">
      <c r="A44" s="44">
        <v>23575.4</v>
      </c>
      <c r="B44" s="45">
        <v>23575.4</v>
      </c>
      <c r="C44" s="46">
        <v>100</v>
      </c>
      <c r="D44" s="44">
        <v>23575.4</v>
      </c>
      <c r="E44" s="46">
        <v>100</v>
      </c>
      <c r="F44" s="47"/>
      <c r="G44" s="47"/>
    </row>
    <row r="45" spans="1:20" ht="15.75" x14ac:dyDescent="0.25">
      <c r="A45" s="44">
        <v>9709</v>
      </c>
      <c r="B45" s="45">
        <v>9709</v>
      </c>
      <c r="C45" s="46">
        <v>100</v>
      </c>
      <c r="D45" s="44">
        <v>9709</v>
      </c>
      <c r="E45" s="46">
        <v>100</v>
      </c>
      <c r="F45" s="47"/>
      <c r="G45" s="47"/>
    </row>
    <row r="46" spans="1:20" ht="15.75" x14ac:dyDescent="0.25">
      <c r="A46" s="52">
        <v>3001.6</v>
      </c>
      <c r="B46" s="53"/>
      <c r="C46" s="53"/>
      <c r="D46" s="53"/>
      <c r="E46" s="53"/>
      <c r="F46" s="53"/>
      <c r="G46" s="53"/>
      <c r="L46" s="26">
        <v>858793539.96000028</v>
      </c>
      <c r="M46" s="68">
        <v>-43625488.710000001</v>
      </c>
    </row>
    <row r="47" spans="1:20" x14ac:dyDescent="0.25">
      <c r="A47" s="48">
        <v>21565.8</v>
      </c>
      <c r="B47" s="49"/>
      <c r="C47" s="49"/>
      <c r="D47" s="49"/>
      <c r="E47" s="49"/>
      <c r="F47" s="49"/>
      <c r="G47" s="49"/>
    </row>
    <row r="48" spans="1:20" x14ac:dyDescent="0.25">
      <c r="A48" s="44">
        <v>231868.5</v>
      </c>
      <c r="B48" s="47"/>
      <c r="C48" s="47"/>
      <c r="D48" s="44">
        <v>231868.5</v>
      </c>
      <c r="E48" s="46">
        <v>100</v>
      </c>
      <c r="F48" s="47"/>
      <c r="G48" s="50">
        <v>231868.5</v>
      </c>
    </row>
    <row r="49" spans="1:10" x14ac:dyDescent="0.25">
      <c r="A49" s="48">
        <v>2981645.02</v>
      </c>
      <c r="B49" s="49"/>
      <c r="C49" s="49"/>
      <c r="D49" s="49"/>
      <c r="E49" s="49"/>
      <c r="F49" s="49"/>
      <c r="G49" s="49"/>
    </row>
    <row r="50" spans="1:10" x14ac:dyDescent="0.25">
      <c r="A50" s="48">
        <v>157222.25</v>
      </c>
      <c r="B50" s="49"/>
      <c r="C50" s="49"/>
      <c r="D50" s="49"/>
      <c r="E50" s="49"/>
      <c r="F50" s="49"/>
      <c r="G50" s="49"/>
    </row>
    <row r="51" spans="1:10" x14ac:dyDescent="0.25">
      <c r="A51" s="52">
        <v>12044.9</v>
      </c>
      <c r="B51" s="53"/>
      <c r="C51" s="53"/>
      <c r="D51" s="53"/>
      <c r="E51" s="53"/>
      <c r="F51" s="53"/>
      <c r="G51" s="53"/>
    </row>
    <row r="52" spans="1:10" x14ac:dyDescent="0.25">
      <c r="A52" s="52">
        <v>4246.2</v>
      </c>
      <c r="B52" s="53"/>
      <c r="C52" s="53"/>
      <c r="D52" s="53"/>
      <c r="E52" s="53"/>
      <c r="F52" s="53"/>
      <c r="G52" s="53"/>
    </row>
    <row r="53" spans="1:10" x14ac:dyDescent="0.25">
      <c r="A53" s="48">
        <v>105821.1</v>
      </c>
      <c r="B53" s="49"/>
      <c r="C53" s="49"/>
      <c r="D53" s="49"/>
      <c r="E53" s="49"/>
      <c r="F53" s="49"/>
      <c r="G53" s="49"/>
    </row>
    <row r="54" spans="1:10" ht="15.75" x14ac:dyDescent="0.25">
      <c r="A54" s="44">
        <v>1164.7</v>
      </c>
      <c r="B54" s="45">
        <v>1164.7</v>
      </c>
      <c r="C54" s="46">
        <v>100</v>
      </c>
      <c r="D54" s="44">
        <v>1164.7</v>
      </c>
      <c r="E54" s="46">
        <v>100</v>
      </c>
      <c r="F54" s="47"/>
      <c r="G54" s="47"/>
    </row>
    <row r="55" spans="1:10" x14ac:dyDescent="0.25">
      <c r="A55" s="52">
        <v>11391</v>
      </c>
      <c r="C55" s="53"/>
      <c r="D55" s="53"/>
      <c r="E55" s="53"/>
      <c r="F55" s="53"/>
      <c r="G55" s="53"/>
    </row>
    <row r="56" spans="1:10" x14ac:dyDescent="0.25">
      <c r="A56" s="48">
        <v>217072.8</v>
      </c>
      <c r="B56" s="49"/>
      <c r="C56" s="49"/>
      <c r="D56" s="49"/>
      <c r="E56" s="49"/>
      <c r="F56" s="49"/>
      <c r="G56" s="49"/>
    </row>
    <row r="57" spans="1:10" x14ac:dyDescent="0.25">
      <c r="A57" s="48">
        <v>186395.65</v>
      </c>
      <c r="B57" s="48"/>
      <c r="C57" s="49"/>
      <c r="D57" s="49"/>
      <c r="E57" s="49"/>
      <c r="F57" s="49"/>
      <c r="J57" s="32"/>
    </row>
    <row r="58" spans="1:10" x14ac:dyDescent="0.25">
      <c r="A58" s="16">
        <f>SUM(A1:A57)</f>
        <v>17108223.069999997</v>
      </c>
      <c r="B58" s="16">
        <f>SUM(B1:B54)</f>
        <v>544078.36</v>
      </c>
      <c r="G58" s="16">
        <f>SUM(G1:G56)</f>
        <v>1587436.64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D156"/>
  <sheetViews>
    <sheetView topLeftCell="A130" workbookViewId="0">
      <selection activeCell="H30" sqref="H30"/>
    </sheetView>
  </sheetViews>
  <sheetFormatPr defaultRowHeight="15" x14ac:dyDescent="0.25"/>
  <cols>
    <col min="1" max="1" width="32" customWidth="1"/>
    <col min="4" max="4" width="19" customWidth="1"/>
    <col min="6" max="6" width="9.140625" customWidth="1"/>
  </cols>
  <sheetData>
    <row r="1" spans="1:4" x14ac:dyDescent="0.25">
      <c r="A1" s="11">
        <v>160359.5</v>
      </c>
    </row>
    <row r="2" spans="1:4" x14ac:dyDescent="0.25">
      <c r="A2" s="12"/>
    </row>
    <row r="3" spans="1:4" x14ac:dyDescent="0.25">
      <c r="A3" s="12"/>
    </row>
    <row r="4" spans="1:4" x14ac:dyDescent="0.25">
      <c r="A4" s="12"/>
    </row>
    <row r="5" spans="1:4" x14ac:dyDescent="0.25">
      <c r="A5" s="12"/>
    </row>
    <row r="6" spans="1:4" x14ac:dyDescent="0.25">
      <c r="A6" s="12"/>
    </row>
    <row r="7" spans="1:4" x14ac:dyDescent="0.25">
      <c r="A7" s="12"/>
    </row>
    <row r="8" spans="1:4" x14ac:dyDescent="0.25">
      <c r="A8" s="12"/>
    </row>
    <row r="9" spans="1:4" x14ac:dyDescent="0.25">
      <c r="A9" s="12"/>
    </row>
    <row r="10" spans="1:4" x14ac:dyDescent="0.25">
      <c r="A10" s="12"/>
    </row>
    <row r="11" spans="1:4" x14ac:dyDescent="0.25">
      <c r="A11" s="13"/>
    </row>
    <row r="12" spans="1:4" x14ac:dyDescent="0.25">
      <c r="A12" s="13"/>
    </row>
    <row r="13" spans="1:4" x14ac:dyDescent="0.25">
      <c r="A13" s="11">
        <v>52196.9</v>
      </c>
    </row>
    <row r="14" spans="1:4" x14ac:dyDescent="0.25">
      <c r="A14" s="12"/>
    </row>
    <row r="15" spans="1:4" x14ac:dyDescent="0.25">
      <c r="A15" s="13"/>
    </row>
    <row r="16" spans="1:4" x14ac:dyDescent="0.25">
      <c r="A16" s="13"/>
      <c r="D16" s="31"/>
    </row>
    <row r="17" spans="1:1" ht="42.75" customHeight="1" x14ac:dyDescent="0.25">
      <c r="A17" s="12"/>
    </row>
    <row r="18" spans="1:1" x14ac:dyDescent="0.25">
      <c r="A18" s="11">
        <v>4811.3999999999996</v>
      </c>
    </row>
    <row r="19" spans="1:1" x14ac:dyDescent="0.25">
      <c r="A19" s="13"/>
    </row>
    <row r="20" spans="1:1" x14ac:dyDescent="0.25">
      <c r="A20" s="11">
        <v>52164.7</v>
      </c>
    </row>
    <row r="21" spans="1:1" x14ac:dyDescent="0.25">
      <c r="A21" s="12"/>
    </row>
    <row r="22" spans="1:1" x14ac:dyDescent="0.25">
      <c r="A22" s="13"/>
    </row>
    <row r="23" spans="1:1" x14ac:dyDescent="0.25">
      <c r="A23" s="12"/>
    </row>
    <row r="24" spans="1:1" x14ac:dyDescent="0.25">
      <c r="A24" s="13"/>
    </row>
    <row r="25" spans="1:1" x14ac:dyDescent="0.25">
      <c r="A25" s="13"/>
    </row>
    <row r="26" spans="1:1" x14ac:dyDescent="0.25">
      <c r="A26" s="13"/>
    </row>
    <row r="27" spans="1:1" x14ac:dyDescent="0.25">
      <c r="A27" s="12"/>
    </row>
    <row r="28" spans="1:1" x14ac:dyDescent="0.25">
      <c r="A28" s="12"/>
    </row>
    <row r="29" spans="1:1" x14ac:dyDescent="0.25">
      <c r="A29" s="12"/>
    </row>
    <row r="30" spans="1:1" ht="30.75" customHeight="1" x14ac:dyDescent="0.25">
      <c r="A30" s="11">
        <v>646858.80000000005</v>
      </c>
    </row>
    <row r="31" spans="1:1" x14ac:dyDescent="0.25">
      <c r="A31" s="12"/>
    </row>
    <row r="32" spans="1:1" x14ac:dyDescent="0.25">
      <c r="A32" s="12"/>
    </row>
    <row r="33" spans="1:1" x14ac:dyDescent="0.25">
      <c r="A33" s="12"/>
    </row>
    <row r="34" spans="1:1" x14ac:dyDescent="0.25">
      <c r="A34" s="12"/>
    </row>
    <row r="35" spans="1:1" x14ac:dyDescent="0.25">
      <c r="A35" s="12"/>
    </row>
    <row r="36" spans="1:1" x14ac:dyDescent="0.25">
      <c r="A36" s="12"/>
    </row>
    <row r="37" spans="1:1" x14ac:dyDescent="0.25">
      <c r="A37" s="12"/>
    </row>
    <row r="38" spans="1:1" x14ac:dyDescent="0.25">
      <c r="A38" s="13"/>
    </row>
    <row r="39" spans="1:1" x14ac:dyDescent="0.25">
      <c r="A39" s="12"/>
    </row>
    <row r="40" spans="1:1" x14ac:dyDescent="0.25">
      <c r="A40" s="11">
        <v>5135.2</v>
      </c>
    </row>
    <row r="41" spans="1:1" x14ac:dyDescent="0.25">
      <c r="A41" s="13"/>
    </row>
    <row r="42" spans="1:1" x14ac:dyDescent="0.25">
      <c r="A42" s="13"/>
    </row>
    <row r="43" spans="1:1" x14ac:dyDescent="0.25">
      <c r="A43" s="13"/>
    </row>
    <row r="44" spans="1:1" x14ac:dyDescent="0.25">
      <c r="A44" s="13"/>
    </row>
    <row r="45" spans="1:1" x14ac:dyDescent="0.25">
      <c r="A45" s="12"/>
    </row>
    <row r="46" spans="1:1" x14ac:dyDescent="0.25">
      <c r="A46" s="13"/>
    </row>
    <row r="47" spans="1:1" x14ac:dyDescent="0.25">
      <c r="A47" s="13"/>
    </row>
    <row r="48" spans="1:1" x14ac:dyDescent="0.25">
      <c r="A48" s="13"/>
    </row>
    <row r="49" spans="1:1" x14ac:dyDescent="0.25">
      <c r="A49" s="11">
        <v>24150</v>
      </c>
    </row>
    <row r="50" spans="1:1" x14ac:dyDescent="0.25">
      <c r="A50" s="12"/>
    </row>
    <row r="51" spans="1:1" x14ac:dyDescent="0.25">
      <c r="A51" s="13"/>
    </row>
    <row r="52" spans="1:1" x14ac:dyDescent="0.25">
      <c r="A52" s="13"/>
    </row>
    <row r="53" spans="1:1" x14ac:dyDescent="0.25">
      <c r="A53" s="13"/>
    </row>
    <row r="54" spans="1:1" x14ac:dyDescent="0.25">
      <c r="A54" s="12"/>
    </row>
    <row r="55" spans="1:1" x14ac:dyDescent="0.25">
      <c r="A55" s="12"/>
    </row>
    <row r="56" spans="1:1" x14ac:dyDescent="0.25">
      <c r="A56" s="13"/>
    </row>
    <row r="57" spans="1:1" x14ac:dyDescent="0.25">
      <c r="A57" s="11">
        <v>9476.6</v>
      </c>
    </row>
    <row r="58" spans="1:1" x14ac:dyDescent="0.25">
      <c r="A58" s="11">
        <v>14733.6</v>
      </c>
    </row>
    <row r="59" spans="1:1" x14ac:dyDescent="0.25">
      <c r="A59" s="12"/>
    </row>
    <row r="60" spans="1:1" x14ac:dyDescent="0.25">
      <c r="A60" s="12"/>
    </row>
    <row r="61" spans="1:1" x14ac:dyDescent="0.25">
      <c r="A61" s="11">
        <v>1711.5</v>
      </c>
    </row>
    <row r="62" spans="1:1" x14ac:dyDescent="0.25">
      <c r="A62" s="12"/>
    </row>
    <row r="63" spans="1:1" x14ac:dyDescent="0.25">
      <c r="A63" s="14"/>
    </row>
    <row r="64" spans="1:1" x14ac:dyDescent="0.25">
      <c r="A64" s="12"/>
    </row>
    <row r="65" spans="1:1" x14ac:dyDescent="0.25">
      <c r="A65" s="11">
        <v>2580.85</v>
      </c>
    </row>
    <row r="66" spans="1:1" x14ac:dyDescent="0.25">
      <c r="A66" s="13"/>
    </row>
    <row r="67" spans="1:1" x14ac:dyDescent="0.25">
      <c r="A67" s="11">
        <v>54615.4</v>
      </c>
    </row>
    <row r="68" spans="1:1" x14ac:dyDescent="0.25">
      <c r="A68" s="12"/>
    </row>
    <row r="69" spans="1:1" x14ac:dyDescent="0.25">
      <c r="A69" s="11">
        <v>87542.7</v>
      </c>
    </row>
    <row r="70" spans="1:1" x14ac:dyDescent="0.25">
      <c r="A70" s="11">
        <v>1704733.8</v>
      </c>
    </row>
    <row r="71" spans="1:1" x14ac:dyDescent="0.25">
      <c r="A71" s="12"/>
    </row>
    <row r="72" spans="1:1" x14ac:dyDescent="0.25">
      <c r="A72" s="12"/>
    </row>
    <row r="73" spans="1:1" x14ac:dyDescent="0.25">
      <c r="A73" s="13"/>
    </row>
    <row r="74" spans="1:1" x14ac:dyDescent="0.25">
      <c r="A74" s="12"/>
    </row>
    <row r="75" spans="1:1" x14ac:dyDescent="0.25">
      <c r="A75" s="13"/>
    </row>
    <row r="76" spans="1:1" x14ac:dyDescent="0.25">
      <c r="A76" s="12"/>
    </row>
    <row r="77" spans="1:1" x14ac:dyDescent="0.25">
      <c r="A77" s="12"/>
    </row>
    <row r="78" spans="1:1" x14ac:dyDescent="0.25">
      <c r="A78" s="11">
        <v>10234.700000000001</v>
      </c>
    </row>
    <row r="79" spans="1:1" x14ac:dyDescent="0.25">
      <c r="A79" s="13"/>
    </row>
    <row r="80" spans="1:1" x14ac:dyDescent="0.25">
      <c r="A80" s="12"/>
    </row>
    <row r="81" spans="1:1" x14ac:dyDescent="0.25">
      <c r="A81" s="13"/>
    </row>
    <row r="82" spans="1:1" x14ac:dyDescent="0.25">
      <c r="A82" s="13"/>
    </row>
    <row r="83" spans="1:1" x14ac:dyDescent="0.25">
      <c r="A83" s="12"/>
    </row>
    <row r="84" spans="1:1" x14ac:dyDescent="0.25">
      <c r="A84" s="11">
        <v>57834</v>
      </c>
    </row>
    <row r="85" spans="1:1" x14ac:dyDescent="0.25">
      <c r="A85" s="12"/>
    </row>
    <row r="86" spans="1:1" x14ac:dyDescent="0.25">
      <c r="A86" s="12"/>
    </row>
    <row r="87" spans="1:1" x14ac:dyDescent="0.25">
      <c r="A87" s="13"/>
    </row>
    <row r="88" spans="1:1" x14ac:dyDescent="0.25">
      <c r="A88" s="12"/>
    </row>
    <row r="89" spans="1:1" x14ac:dyDescent="0.25">
      <c r="A89" s="13"/>
    </row>
    <row r="90" spans="1:1" x14ac:dyDescent="0.25">
      <c r="A90" s="12"/>
    </row>
    <row r="91" spans="1:1" x14ac:dyDescent="0.25">
      <c r="A91" s="12"/>
    </row>
    <row r="92" spans="1:1" x14ac:dyDescent="0.25">
      <c r="A92" s="12"/>
    </row>
    <row r="93" spans="1:1" x14ac:dyDescent="0.25">
      <c r="A93" s="11">
        <v>9622.7999999999993</v>
      </c>
    </row>
    <row r="94" spans="1:1" x14ac:dyDescent="0.25">
      <c r="A94" s="13"/>
    </row>
    <row r="95" spans="1:1" x14ac:dyDescent="0.25">
      <c r="A95" s="12"/>
    </row>
    <row r="96" spans="1:1" x14ac:dyDescent="0.25">
      <c r="A96" s="12"/>
    </row>
    <row r="97" spans="1:1" x14ac:dyDescent="0.25">
      <c r="A97" s="13"/>
    </row>
    <row r="98" spans="1:1" x14ac:dyDescent="0.25">
      <c r="A98" s="11">
        <v>98308.6</v>
      </c>
    </row>
    <row r="99" spans="1:1" x14ac:dyDescent="0.25">
      <c r="A99" s="11">
        <v>16408.7</v>
      </c>
    </row>
    <row r="100" spans="1:1" x14ac:dyDescent="0.25">
      <c r="A100" s="13"/>
    </row>
    <row r="101" spans="1:1" x14ac:dyDescent="0.25">
      <c r="A101" s="13"/>
    </row>
    <row r="102" spans="1:1" x14ac:dyDescent="0.25">
      <c r="A102" s="13"/>
    </row>
    <row r="103" spans="1:1" x14ac:dyDescent="0.25">
      <c r="A103" s="12"/>
    </row>
    <row r="104" spans="1:1" x14ac:dyDescent="0.25">
      <c r="A104" s="12"/>
    </row>
    <row r="105" spans="1:1" x14ac:dyDescent="0.25">
      <c r="A105" s="12"/>
    </row>
    <row r="106" spans="1:1" x14ac:dyDescent="0.25">
      <c r="A106" s="12"/>
    </row>
    <row r="107" spans="1:1" x14ac:dyDescent="0.25">
      <c r="A107" s="12"/>
    </row>
    <row r="108" spans="1:1" x14ac:dyDescent="0.25">
      <c r="A108" s="12"/>
    </row>
    <row r="109" spans="1:1" x14ac:dyDescent="0.25">
      <c r="A109" s="13"/>
    </row>
    <row r="110" spans="1:1" x14ac:dyDescent="0.25">
      <c r="A110" s="12"/>
    </row>
    <row r="111" spans="1:1" x14ac:dyDescent="0.25">
      <c r="A111" s="11">
        <v>127964.9</v>
      </c>
    </row>
    <row r="112" spans="1:1" x14ac:dyDescent="0.25">
      <c r="A112" s="11">
        <v>4363.8</v>
      </c>
    </row>
    <row r="113" spans="1:1" x14ac:dyDescent="0.25">
      <c r="A113" s="11">
        <v>4246.2</v>
      </c>
    </row>
    <row r="114" spans="1:1" x14ac:dyDescent="0.25">
      <c r="A114" s="12"/>
    </row>
    <row r="115" spans="1:1" x14ac:dyDescent="0.25">
      <c r="A115" s="11">
        <v>16258.68</v>
      </c>
    </row>
    <row r="116" spans="1:1" x14ac:dyDescent="0.25">
      <c r="A116" s="13"/>
    </row>
    <row r="117" spans="1:1" x14ac:dyDescent="0.25">
      <c r="A117" s="12"/>
    </row>
    <row r="118" spans="1:1" x14ac:dyDescent="0.25">
      <c r="A118" s="11">
        <v>45570</v>
      </c>
    </row>
    <row r="119" spans="1:1" x14ac:dyDescent="0.25">
      <c r="A119" s="12"/>
    </row>
    <row r="120" spans="1:1" x14ac:dyDescent="0.25">
      <c r="A120" s="11">
        <v>97923</v>
      </c>
    </row>
    <row r="121" spans="1:1" x14ac:dyDescent="0.25">
      <c r="A121" s="12"/>
    </row>
    <row r="122" spans="1:1" x14ac:dyDescent="0.25">
      <c r="A122" s="11">
        <v>20728.400000000001</v>
      </c>
    </row>
    <row r="123" spans="1:1" x14ac:dyDescent="0.25">
      <c r="A123" s="12"/>
    </row>
    <row r="124" spans="1:1" x14ac:dyDescent="0.25">
      <c r="A124" s="12"/>
    </row>
    <row r="125" spans="1:1" x14ac:dyDescent="0.25">
      <c r="A125" s="12"/>
    </row>
    <row r="126" spans="1:1" x14ac:dyDescent="0.25">
      <c r="A126" s="12"/>
    </row>
    <row r="127" spans="1:1" x14ac:dyDescent="0.25">
      <c r="A127" s="15" t="s">
        <v>9</v>
      </c>
    </row>
    <row r="128" spans="1:1" x14ac:dyDescent="0.25">
      <c r="A128" s="13"/>
    </row>
    <row r="129" spans="1:1" x14ac:dyDescent="0.25">
      <c r="A129" s="12"/>
    </row>
    <row r="130" spans="1:1" x14ac:dyDescent="0.25">
      <c r="A130" s="12"/>
    </row>
    <row r="131" spans="1:1" x14ac:dyDescent="0.25">
      <c r="A131" s="12"/>
    </row>
    <row r="132" spans="1:1" x14ac:dyDescent="0.25">
      <c r="A132" s="13"/>
    </row>
    <row r="133" spans="1:1" x14ac:dyDescent="0.25">
      <c r="A133" s="13"/>
    </row>
    <row r="134" spans="1:1" x14ac:dyDescent="0.25">
      <c r="A134" s="12"/>
    </row>
    <row r="135" spans="1:1" x14ac:dyDescent="0.25">
      <c r="A135" s="11">
        <v>4439.3999999999996</v>
      </c>
    </row>
    <row r="136" spans="1:1" x14ac:dyDescent="0.25">
      <c r="A136" s="12"/>
    </row>
    <row r="137" spans="1:1" x14ac:dyDescent="0.25">
      <c r="A137" s="12"/>
    </row>
    <row r="138" spans="1:1" x14ac:dyDescent="0.25">
      <c r="A138" s="13"/>
    </row>
    <row r="139" spans="1:1" x14ac:dyDescent="0.25">
      <c r="A139" s="11">
        <v>7200</v>
      </c>
    </row>
    <row r="140" spans="1:1" x14ac:dyDescent="0.25">
      <c r="A140" s="12"/>
    </row>
    <row r="141" spans="1:1" x14ac:dyDescent="0.25">
      <c r="A141" s="12"/>
    </row>
    <row r="142" spans="1:1" x14ac:dyDescent="0.25">
      <c r="A142" s="11">
        <v>35982.800000000003</v>
      </c>
    </row>
    <row r="143" spans="1:1" x14ac:dyDescent="0.25">
      <c r="A143" s="11">
        <v>76650</v>
      </c>
    </row>
    <row r="144" spans="1:1" x14ac:dyDescent="0.25">
      <c r="A144" s="12"/>
    </row>
    <row r="145" spans="1:1" x14ac:dyDescent="0.25">
      <c r="A145" s="11">
        <v>75427.8</v>
      </c>
    </row>
    <row r="146" spans="1:1" x14ac:dyDescent="0.25">
      <c r="A146" s="13"/>
    </row>
    <row r="147" spans="1:1" x14ac:dyDescent="0.25">
      <c r="A147" s="11">
        <v>155344</v>
      </c>
    </row>
    <row r="148" spans="1:1" x14ac:dyDescent="0.25">
      <c r="A148" s="11">
        <v>26077.8</v>
      </c>
    </row>
    <row r="149" spans="1:1" x14ac:dyDescent="0.25">
      <c r="A149" s="12"/>
    </row>
    <row r="150" spans="1:1" x14ac:dyDescent="0.25">
      <c r="A150" s="12"/>
    </row>
    <row r="151" spans="1:1" x14ac:dyDescent="0.25">
      <c r="A151" s="13"/>
    </row>
    <row r="152" spans="1:1" x14ac:dyDescent="0.25">
      <c r="A152" s="12"/>
    </row>
    <row r="153" spans="1:1" x14ac:dyDescent="0.25">
      <c r="A153" s="12"/>
    </row>
    <row r="154" spans="1:1" x14ac:dyDescent="0.25">
      <c r="A154" s="11">
        <v>5346.6</v>
      </c>
    </row>
    <row r="155" spans="1:1" x14ac:dyDescent="0.25">
      <c r="A155" s="11">
        <v>17189.2</v>
      </c>
    </row>
    <row r="156" spans="1:1" x14ac:dyDescent="0.25">
      <c r="A156" s="16">
        <f>SUM(A1:A155)</f>
        <v>3734192.33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R22"/>
  <sheetViews>
    <sheetView workbookViewId="0">
      <selection activeCell="R1" sqref="R1:R15"/>
    </sheetView>
  </sheetViews>
  <sheetFormatPr defaultRowHeight="15" x14ac:dyDescent="0.25"/>
  <cols>
    <col min="3" max="3" width="23.140625" customWidth="1"/>
    <col min="7" max="7" width="21.140625" customWidth="1"/>
    <col min="8" max="8" width="27.28515625" customWidth="1"/>
    <col min="15" max="15" width="20.28515625" customWidth="1"/>
    <col min="17" max="17" width="37.7109375" customWidth="1"/>
    <col min="18" max="18" width="47.7109375" customWidth="1"/>
  </cols>
  <sheetData>
    <row r="1" spans="1:18" x14ac:dyDescent="0.25">
      <c r="A1" s="17" t="s">
        <v>10</v>
      </c>
      <c r="B1" s="17" t="s">
        <v>11</v>
      </c>
      <c r="C1" s="18">
        <v>31892</v>
      </c>
      <c r="G1" s="17" t="s">
        <v>11</v>
      </c>
      <c r="H1" s="18">
        <v>1058407.3500000001</v>
      </c>
      <c r="O1" s="19" t="s">
        <v>18</v>
      </c>
      <c r="P1" s="19" t="s">
        <v>19</v>
      </c>
      <c r="Q1" s="19" t="s">
        <v>11</v>
      </c>
      <c r="R1" s="20" t="s">
        <v>45</v>
      </c>
    </row>
    <row r="2" spans="1:18" x14ac:dyDescent="0.25">
      <c r="A2" s="17" t="s">
        <v>12</v>
      </c>
      <c r="B2" s="17" t="s">
        <v>11</v>
      </c>
      <c r="C2" s="18">
        <v>250843.24</v>
      </c>
      <c r="G2" s="17" t="s">
        <v>11</v>
      </c>
      <c r="H2" s="18">
        <v>174495.51</v>
      </c>
      <c r="O2" s="19" t="s">
        <v>21</v>
      </c>
      <c r="P2" s="19" t="s">
        <v>20</v>
      </c>
      <c r="Q2" s="19" t="s">
        <v>11</v>
      </c>
      <c r="R2" s="20">
        <v>174495.51</v>
      </c>
    </row>
    <row r="3" spans="1:18" x14ac:dyDescent="0.25">
      <c r="A3" s="17" t="s">
        <v>13</v>
      </c>
      <c r="B3" s="17" t="s">
        <v>11</v>
      </c>
      <c r="C3" s="18">
        <v>868971.92</v>
      </c>
      <c r="G3" s="17" t="s">
        <v>11</v>
      </c>
      <c r="H3" s="18">
        <v>105741.08</v>
      </c>
      <c r="O3" s="19" t="s">
        <v>23</v>
      </c>
      <c r="P3" s="19" t="s">
        <v>22</v>
      </c>
      <c r="Q3" s="19" t="s">
        <v>11</v>
      </c>
      <c r="R3" s="20">
        <v>105741.08</v>
      </c>
    </row>
    <row r="4" spans="1:18" x14ac:dyDescent="0.25">
      <c r="A4" s="17" t="s">
        <v>13</v>
      </c>
      <c r="B4" s="17" t="s">
        <v>11</v>
      </c>
      <c r="C4" s="18">
        <v>1797880.24</v>
      </c>
      <c r="G4" s="17" t="s">
        <v>11</v>
      </c>
      <c r="H4" s="18">
        <v>22001.759999999998</v>
      </c>
      <c r="O4" s="19" t="s">
        <v>24</v>
      </c>
      <c r="P4" s="19" t="s">
        <v>22</v>
      </c>
      <c r="Q4" s="19" t="s">
        <v>11</v>
      </c>
      <c r="R4" s="20">
        <v>22001.759999999998</v>
      </c>
    </row>
    <row r="5" spans="1:18" x14ac:dyDescent="0.25">
      <c r="A5" s="17" t="s">
        <v>13</v>
      </c>
      <c r="B5" s="17" t="s">
        <v>11</v>
      </c>
      <c r="C5" s="18">
        <v>1323632.8799999999</v>
      </c>
      <c r="G5" s="17" t="s">
        <v>11</v>
      </c>
      <c r="H5" s="18">
        <v>3231</v>
      </c>
      <c r="O5" s="19" t="s">
        <v>25</v>
      </c>
      <c r="P5" s="19" t="s">
        <v>26</v>
      </c>
      <c r="Q5" s="19" t="s">
        <v>11</v>
      </c>
      <c r="R5" s="20">
        <v>3231</v>
      </c>
    </row>
    <row r="6" spans="1:18" x14ac:dyDescent="0.25">
      <c r="A6" s="17" t="s">
        <v>14</v>
      </c>
      <c r="B6" s="17" t="s">
        <v>11</v>
      </c>
      <c r="C6" s="18">
        <v>11875</v>
      </c>
      <c r="G6" s="17" t="s">
        <v>11</v>
      </c>
      <c r="H6" s="18">
        <v>53023</v>
      </c>
      <c r="O6" s="19" t="s">
        <v>27</v>
      </c>
      <c r="P6" s="19" t="s">
        <v>28</v>
      </c>
      <c r="Q6" s="19" t="s">
        <v>11</v>
      </c>
      <c r="R6" s="20">
        <v>53023</v>
      </c>
    </row>
    <row r="7" spans="1:18" x14ac:dyDescent="0.25">
      <c r="A7" s="17" t="s">
        <v>15</v>
      </c>
      <c r="B7" s="17" t="s">
        <v>11</v>
      </c>
      <c r="C7" s="18">
        <v>1383785.2</v>
      </c>
      <c r="G7" s="17" t="s">
        <v>11</v>
      </c>
      <c r="H7" s="18">
        <v>30371.9</v>
      </c>
      <c r="O7" s="19" t="s">
        <v>30</v>
      </c>
      <c r="P7" s="19" t="s">
        <v>29</v>
      </c>
      <c r="Q7" s="19" t="s">
        <v>11</v>
      </c>
      <c r="R7" s="20">
        <v>30371.9</v>
      </c>
    </row>
    <row r="8" spans="1:18" x14ac:dyDescent="0.25">
      <c r="A8" s="17" t="s">
        <v>16</v>
      </c>
      <c r="B8" s="17" t="s">
        <v>11</v>
      </c>
      <c r="C8" s="18">
        <v>1060860.3999999999</v>
      </c>
      <c r="G8" s="17" t="s">
        <v>11</v>
      </c>
      <c r="H8" s="18">
        <v>139687.20000000001</v>
      </c>
      <c r="O8" s="19" t="s">
        <v>31</v>
      </c>
      <c r="P8" s="19" t="s">
        <v>29</v>
      </c>
      <c r="Q8" s="19" t="s">
        <v>11</v>
      </c>
      <c r="R8" s="20">
        <v>139687.20000000001</v>
      </c>
    </row>
    <row r="9" spans="1:18" x14ac:dyDescent="0.25">
      <c r="A9" s="17" t="s">
        <v>17</v>
      </c>
      <c r="B9" s="17" t="s">
        <v>11</v>
      </c>
      <c r="C9" s="18">
        <v>60506.16</v>
      </c>
      <c r="G9" s="17" t="s">
        <v>11</v>
      </c>
      <c r="H9" s="18">
        <v>10705924.039999999</v>
      </c>
      <c r="O9" s="19" t="s">
        <v>33</v>
      </c>
      <c r="P9" s="19" t="s">
        <v>32</v>
      </c>
      <c r="Q9" s="19" t="s">
        <v>11</v>
      </c>
      <c r="R9" s="20">
        <v>16668</v>
      </c>
    </row>
    <row r="10" spans="1:18" x14ac:dyDescent="0.25">
      <c r="C10" s="16">
        <f>SUM(C1:C9)</f>
        <v>6790247.040000001</v>
      </c>
      <c r="G10" s="17" t="s">
        <v>11</v>
      </c>
      <c r="H10" s="18">
        <v>16668.32</v>
      </c>
      <c r="O10" s="19" t="s">
        <v>35</v>
      </c>
      <c r="P10" s="19" t="s">
        <v>34</v>
      </c>
      <c r="Q10" s="19" t="s">
        <v>11</v>
      </c>
      <c r="R10" s="20">
        <v>24299</v>
      </c>
    </row>
    <row r="11" spans="1:18" x14ac:dyDescent="0.25">
      <c r="G11" s="17" t="s">
        <v>11</v>
      </c>
      <c r="H11" s="18">
        <v>94299</v>
      </c>
      <c r="O11" s="19" t="s">
        <v>36</v>
      </c>
      <c r="P11" s="19" t="s">
        <v>34</v>
      </c>
      <c r="Q11" s="19" t="s">
        <v>11</v>
      </c>
      <c r="R11" s="20">
        <v>94299</v>
      </c>
    </row>
    <row r="12" spans="1:18" x14ac:dyDescent="0.25">
      <c r="G12" s="17" t="s">
        <v>11</v>
      </c>
      <c r="H12" s="18">
        <v>5223.75</v>
      </c>
      <c r="O12" s="19" t="s">
        <v>37</v>
      </c>
      <c r="P12" s="19" t="s">
        <v>38</v>
      </c>
      <c r="Q12" s="19" t="s">
        <v>11</v>
      </c>
      <c r="R12" s="20">
        <v>16050</v>
      </c>
    </row>
    <row r="13" spans="1:18" x14ac:dyDescent="0.25">
      <c r="G13" s="17" t="s">
        <v>11</v>
      </c>
      <c r="H13" s="18">
        <v>16050.44</v>
      </c>
      <c r="O13" s="19" t="s">
        <v>40</v>
      </c>
      <c r="P13" s="19" t="s">
        <v>39</v>
      </c>
      <c r="Q13" s="19" t="s">
        <v>11</v>
      </c>
      <c r="R13" s="20">
        <v>28000</v>
      </c>
    </row>
    <row r="14" spans="1:18" x14ac:dyDescent="0.25">
      <c r="G14" s="17" t="s">
        <v>11</v>
      </c>
      <c r="H14" s="18">
        <v>28159.200000000001</v>
      </c>
      <c r="O14" s="19" t="s">
        <v>41</v>
      </c>
      <c r="P14" s="19" t="s">
        <v>42</v>
      </c>
      <c r="Q14" s="19" t="s">
        <v>11</v>
      </c>
      <c r="R14" s="20">
        <v>104985</v>
      </c>
    </row>
    <row r="15" spans="1:18" x14ac:dyDescent="0.25">
      <c r="G15" s="17" t="s">
        <v>11</v>
      </c>
      <c r="H15" s="18">
        <v>104985.2</v>
      </c>
      <c r="O15" s="19" t="s">
        <v>43</v>
      </c>
      <c r="P15" s="19" t="s">
        <v>44</v>
      </c>
      <c r="Q15" s="19" t="s">
        <v>11</v>
      </c>
      <c r="R15" s="20">
        <v>105000</v>
      </c>
    </row>
    <row r="16" spans="1:18" x14ac:dyDescent="0.25">
      <c r="G16" s="17" t="s">
        <v>11</v>
      </c>
      <c r="H16" s="18">
        <v>14855</v>
      </c>
      <c r="R16" s="16"/>
    </row>
    <row r="17" spans="7:8" x14ac:dyDescent="0.25">
      <c r="G17" s="17" t="s">
        <v>11</v>
      </c>
      <c r="H17" s="18">
        <v>38365.300000000003</v>
      </c>
    </row>
    <row r="18" spans="7:8" x14ac:dyDescent="0.25">
      <c r="G18" s="17" t="s">
        <v>11</v>
      </c>
      <c r="H18" s="18">
        <v>10291.5</v>
      </c>
    </row>
    <row r="19" spans="7:8" x14ac:dyDescent="0.25">
      <c r="G19" s="17" t="s">
        <v>11</v>
      </c>
      <c r="H19" s="18">
        <v>38365.300000000003</v>
      </c>
    </row>
    <row r="20" spans="7:8" x14ac:dyDescent="0.25">
      <c r="G20" s="17" t="s">
        <v>11</v>
      </c>
      <c r="H20" s="18">
        <v>37152.400000000001</v>
      </c>
    </row>
    <row r="21" spans="7:8" x14ac:dyDescent="0.25">
      <c r="G21" s="17" t="s">
        <v>11</v>
      </c>
      <c r="H21" s="18">
        <v>143834</v>
      </c>
    </row>
    <row r="22" spans="7:8" x14ac:dyDescent="0.25">
      <c r="H22" s="16">
        <f>SUM(H1:H21)</f>
        <v>12841132.25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S1093"/>
  <sheetViews>
    <sheetView topLeftCell="I1" workbookViewId="0">
      <selection activeCell="N131" sqref="N131"/>
    </sheetView>
  </sheetViews>
  <sheetFormatPr defaultRowHeight="15" x14ac:dyDescent="0.25"/>
  <cols>
    <col min="1" max="1" width="20.42578125" customWidth="1"/>
    <col min="3" max="3" width="19.28515625" customWidth="1"/>
    <col min="5" max="5" width="19.85546875" customWidth="1"/>
    <col min="7" max="7" width="25.42578125" customWidth="1"/>
    <col min="10" max="10" width="23.140625" customWidth="1"/>
    <col min="13" max="13" width="9.42578125" customWidth="1"/>
    <col min="14" max="14" width="20.42578125" customWidth="1"/>
    <col min="15" max="15" width="18.140625" customWidth="1"/>
  </cols>
  <sheetData>
    <row r="1" spans="1:19" ht="15.75" x14ac:dyDescent="0.25">
      <c r="A1" s="56">
        <v>23349</v>
      </c>
      <c r="C1" s="56">
        <v>9436.7999999999993</v>
      </c>
      <c r="E1" s="58"/>
      <c r="G1" s="65">
        <v>9436.7999999999993</v>
      </c>
      <c r="J1" s="64">
        <v>61204.25</v>
      </c>
      <c r="M1" s="67" t="s">
        <v>53</v>
      </c>
      <c r="N1" s="67" t="s">
        <v>50</v>
      </c>
      <c r="O1" s="64">
        <v>61204.25</v>
      </c>
      <c r="S1" s="67" t="s">
        <v>11</v>
      </c>
    </row>
    <row r="2" spans="1:19" ht="15.75" x14ac:dyDescent="0.25">
      <c r="A2" s="57"/>
      <c r="C2" s="56">
        <v>5428</v>
      </c>
      <c r="E2" s="56">
        <v>18047.7</v>
      </c>
      <c r="G2" s="65">
        <v>5428</v>
      </c>
      <c r="J2" s="64">
        <v>10782</v>
      </c>
      <c r="M2" s="67" t="s">
        <v>54</v>
      </c>
      <c r="N2" s="67" t="s">
        <v>50</v>
      </c>
      <c r="O2" s="64">
        <v>10782</v>
      </c>
      <c r="S2" s="67" t="s">
        <v>11</v>
      </c>
    </row>
    <row r="3" spans="1:19" ht="15.75" x14ac:dyDescent="0.25">
      <c r="A3" s="56">
        <v>10306.4</v>
      </c>
      <c r="C3" s="58"/>
      <c r="E3" s="56">
        <v>210812.4</v>
      </c>
      <c r="G3" s="58"/>
      <c r="J3" s="64">
        <v>9267.4500000000007</v>
      </c>
      <c r="M3" s="67" t="s">
        <v>54</v>
      </c>
      <c r="N3" s="67" t="s">
        <v>50</v>
      </c>
      <c r="O3" s="64">
        <v>9267.4500000000007</v>
      </c>
      <c r="S3" s="67" t="s">
        <v>11</v>
      </c>
    </row>
    <row r="4" spans="1:19" ht="15.75" x14ac:dyDescent="0.25">
      <c r="A4" s="56">
        <v>32253.3</v>
      </c>
      <c r="C4" s="57"/>
      <c r="E4" s="56">
        <v>148374.39999999999</v>
      </c>
      <c r="G4" s="64">
        <v>8259.2000000000007</v>
      </c>
      <c r="J4" s="64">
        <v>422441.45</v>
      </c>
      <c r="M4" s="67" t="s">
        <v>54</v>
      </c>
      <c r="N4" s="67" t="s">
        <v>50</v>
      </c>
      <c r="O4" s="64">
        <v>422441.45</v>
      </c>
      <c r="S4" s="67" t="s">
        <v>11</v>
      </c>
    </row>
    <row r="5" spans="1:19" ht="15.75" x14ac:dyDescent="0.25">
      <c r="A5" s="56">
        <v>1293</v>
      </c>
      <c r="C5" s="57"/>
      <c r="E5" s="57"/>
      <c r="G5" s="57"/>
      <c r="J5" s="64">
        <v>422441.45</v>
      </c>
      <c r="M5" s="67" t="s">
        <v>54</v>
      </c>
      <c r="N5" s="67" t="s">
        <v>50</v>
      </c>
      <c r="O5" s="64">
        <v>422441.45</v>
      </c>
      <c r="S5" s="67" t="s">
        <v>11</v>
      </c>
    </row>
    <row r="6" spans="1:19" ht="15.75" x14ac:dyDescent="0.25">
      <c r="A6" s="56">
        <v>18683.25</v>
      </c>
      <c r="C6" s="56">
        <v>129956.25</v>
      </c>
      <c r="E6" s="56">
        <v>54591</v>
      </c>
      <c r="G6" s="65">
        <v>129956.25</v>
      </c>
      <c r="J6" s="64">
        <v>1483295</v>
      </c>
      <c r="M6" s="67" t="s">
        <v>55</v>
      </c>
      <c r="N6" s="67" t="s">
        <v>50</v>
      </c>
      <c r="O6" s="64">
        <v>1483295</v>
      </c>
      <c r="S6" s="67" t="s">
        <v>11</v>
      </c>
    </row>
    <row r="7" spans="1:19" ht="15.75" x14ac:dyDescent="0.25">
      <c r="A7" s="56">
        <v>14874</v>
      </c>
      <c r="C7" s="56">
        <v>19198</v>
      </c>
      <c r="E7" s="56">
        <v>1263.2</v>
      </c>
      <c r="G7" s="65">
        <v>19198</v>
      </c>
      <c r="J7" s="64">
        <v>11816.1</v>
      </c>
      <c r="M7" s="67" t="s">
        <v>55</v>
      </c>
      <c r="N7" s="67" t="s">
        <v>50</v>
      </c>
      <c r="O7" s="64">
        <v>11816.1</v>
      </c>
      <c r="S7" s="67" t="s">
        <v>11</v>
      </c>
    </row>
    <row r="8" spans="1:19" ht="15.75" x14ac:dyDescent="0.25">
      <c r="A8" s="56">
        <v>171588</v>
      </c>
      <c r="C8" s="58"/>
      <c r="E8" s="56">
        <v>5683.2</v>
      </c>
      <c r="G8" s="58"/>
      <c r="J8" s="64">
        <v>6770.25</v>
      </c>
      <c r="M8" s="67" t="s">
        <v>55</v>
      </c>
      <c r="N8" s="67" t="s">
        <v>50</v>
      </c>
      <c r="O8" s="64">
        <v>6770.25</v>
      </c>
      <c r="S8" s="67" t="s">
        <v>11</v>
      </c>
    </row>
    <row r="9" spans="1:19" ht="15.75" x14ac:dyDescent="0.25">
      <c r="A9" s="56">
        <v>98182</v>
      </c>
      <c r="C9" s="56">
        <v>24205.200000000001</v>
      </c>
      <c r="E9" s="56">
        <v>29223.94</v>
      </c>
      <c r="G9" s="65">
        <v>24205.200000000001</v>
      </c>
      <c r="J9" s="64">
        <v>51265</v>
      </c>
      <c r="M9" s="67" t="s">
        <v>56</v>
      </c>
      <c r="N9" s="67" t="s">
        <v>50</v>
      </c>
      <c r="O9" s="64">
        <v>51265</v>
      </c>
      <c r="S9" s="67" t="s">
        <v>11</v>
      </c>
    </row>
    <row r="10" spans="1:19" ht="15.75" x14ac:dyDescent="0.25">
      <c r="A10" s="56">
        <v>38930.400000000001</v>
      </c>
      <c r="C10" s="58"/>
      <c r="E10" s="56">
        <v>128367.8</v>
      </c>
      <c r="G10" s="58"/>
      <c r="J10" s="64">
        <v>187659</v>
      </c>
      <c r="M10" s="67" t="s">
        <v>56</v>
      </c>
      <c r="N10" s="67" t="s">
        <v>50</v>
      </c>
      <c r="O10" s="64">
        <v>187659</v>
      </c>
      <c r="S10" s="67" t="s">
        <v>11</v>
      </c>
    </row>
    <row r="11" spans="1:19" ht="15.75" x14ac:dyDescent="0.25">
      <c r="A11" s="56">
        <v>12235.5</v>
      </c>
      <c r="C11" s="56">
        <v>136764.79999999999</v>
      </c>
      <c r="E11" s="56">
        <v>55180.3</v>
      </c>
      <c r="G11" s="65">
        <v>136764.79999999999</v>
      </c>
      <c r="J11" s="64">
        <v>40533</v>
      </c>
      <c r="M11" s="67" t="s">
        <v>56</v>
      </c>
      <c r="N11" s="67" t="s">
        <v>50</v>
      </c>
      <c r="O11" s="64">
        <v>40533</v>
      </c>
      <c r="S11" s="67" t="s">
        <v>11</v>
      </c>
    </row>
    <row r="12" spans="1:19" ht="15.75" x14ac:dyDescent="0.25">
      <c r="A12" s="56">
        <v>663774.35</v>
      </c>
      <c r="C12" s="56">
        <v>63053.4</v>
      </c>
      <c r="E12" s="56">
        <v>200471.81</v>
      </c>
      <c r="G12" s="65">
        <v>63053.4</v>
      </c>
      <c r="J12" s="64">
        <v>2684537.85</v>
      </c>
      <c r="M12" s="67" t="s">
        <v>56</v>
      </c>
      <c r="N12" s="67" t="s">
        <v>50</v>
      </c>
      <c r="O12" s="64">
        <v>2684537.85</v>
      </c>
      <c r="S12" s="67" t="s">
        <v>11</v>
      </c>
    </row>
    <row r="13" spans="1:19" ht="15.75" x14ac:dyDescent="0.25">
      <c r="A13" s="56">
        <v>11520.9</v>
      </c>
      <c r="C13" s="58"/>
      <c r="E13" s="56">
        <v>157774.45000000001</v>
      </c>
      <c r="G13" s="58"/>
      <c r="J13" s="64">
        <v>73964</v>
      </c>
      <c r="M13" s="67" t="s">
        <v>57</v>
      </c>
      <c r="N13" s="67" t="s">
        <v>50</v>
      </c>
      <c r="O13" s="64">
        <v>73964</v>
      </c>
      <c r="S13" s="67" t="s">
        <v>11</v>
      </c>
    </row>
    <row r="14" spans="1:19" ht="15.75" x14ac:dyDescent="0.25">
      <c r="A14" s="56">
        <v>959096</v>
      </c>
      <c r="C14" s="58"/>
      <c r="E14" s="56">
        <v>150080.25</v>
      </c>
      <c r="G14" s="58"/>
      <c r="J14" s="64">
        <v>50064</v>
      </c>
      <c r="M14" s="67" t="s">
        <v>57</v>
      </c>
      <c r="N14" s="67" t="s">
        <v>50</v>
      </c>
      <c r="O14" s="64">
        <v>50064</v>
      </c>
      <c r="S14" s="67" t="s">
        <v>11</v>
      </c>
    </row>
    <row r="15" spans="1:19" ht="15.75" x14ac:dyDescent="0.25">
      <c r="A15" s="56">
        <v>51660</v>
      </c>
      <c r="C15" s="56">
        <v>1167735.44</v>
      </c>
      <c r="E15" s="56">
        <v>256862.4</v>
      </c>
      <c r="G15" s="65">
        <v>1167735.44</v>
      </c>
      <c r="J15" s="64">
        <v>126105</v>
      </c>
      <c r="M15" s="67" t="s">
        <v>57</v>
      </c>
      <c r="N15" s="67" t="s">
        <v>50</v>
      </c>
      <c r="O15" s="64">
        <v>126105</v>
      </c>
      <c r="S15" s="67" t="s">
        <v>11</v>
      </c>
    </row>
    <row r="16" spans="1:19" ht="15.75" x14ac:dyDescent="0.25">
      <c r="A16" s="56">
        <v>4619.8500000000004</v>
      </c>
      <c r="C16" s="56">
        <v>15432.56</v>
      </c>
      <c r="E16" s="56">
        <v>326150.2</v>
      </c>
      <c r="G16" s="65">
        <v>15432.56</v>
      </c>
      <c r="J16" s="64">
        <v>959096</v>
      </c>
      <c r="M16" s="67" t="s">
        <v>57</v>
      </c>
      <c r="N16" s="69" t="s">
        <v>11</v>
      </c>
      <c r="O16" s="64">
        <v>959096</v>
      </c>
      <c r="S16" s="67" t="s">
        <v>11</v>
      </c>
    </row>
    <row r="17" spans="1:19" ht="15.75" x14ac:dyDescent="0.25">
      <c r="A17" s="56">
        <v>32544</v>
      </c>
      <c r="C17" s="56">
        <v>491799.75</v>
      </c>
      <c r="E17" s="56">
        <v>29061.599999999999</v>
      </c>
      <c r="G17" s="65">
        <v>491799.75</v>
      </c>
      <c r="J17" s="64">
        <v>37174</v>
      </c>
      <c r="M17" s="67" t="s">
        <v>58</v>
      </c>
      <c r="N17" s="67" t="s">
        <v>50</v>
      </c>
      <c r="O17" s="64">
        <v>37174</v>
      </c>
      <c r="S17" s="67" t="s">
        <v>11</v>
      </c>
    </row>
    <row r="18" spans="1:19" ht="15.75" x14ac:dyDescent="0.25">
      <c r="A18" s="56">
        <v>13630.54</v>
      </c>
      <c r="C18" s="56">
        <v>330932</v>
      </c>
      <c r="E18" s="56">
        <v>66729.600000000006</v>
      </c>
      <c r="G18" s="65">
        <v>330932</v>
      </c>
      <c r="J18" s="64">
        <v>191188.45</v>
      </c>
      <c r="M18" s="67" t="s">
        <v>58</v>
      </c>
      <c r="N18" s="67" t="s">
        <v>50</v>
      </c>
      <c r="O18" s="64">
        <v>191188.45</v>
      </c>
      <c r="S18" s="67" t="s">
        <v>11</v>
      </c>
    </row>
    <row r="19" spans="1:19" ht="15.75" x14ac:dyDescent="0.25">
      <c r="A19" s="56">
        <v>2957</v>
      </c>
      <c r="C19" s="57"/>
      <c r="E19" s="56">
        <v>5641.2</v>
      </c>
      <c r="G19" s="64">
        <v>657865.4</v>
      </c>
      <c r="J19" s="64">
        <v>12639</v>
      </c>
      <c r="M19" s="67" t="s">
        <v>58</v>
      </c>
      <c r="N19" s="69" t="s">
        <v>11</v>
      </c>
      <c r="O19" s="64">
        <v>12639</v>
      </c>
      <c r="S19" s="67" t="s">
        <v>11</v>
      </c>
    </row>
    <row r="20" spans="1:19" ht="15.75" x14ac:dyDescent="0.25">
      <c r="A20" s="58"/>
      <c r="C20" s="56">
        <v>649656</v>
      </c>
      <c r="E20" s="56">
        <v>56062.400000000001</v>
      </c>
      <c r="G20" s="65">
        <v>649656</v>
      </c>
      <c r="J20" s="64">
        <v>265159.51</v>
      </c>
      <c r="M20" s="67" t="s">
        <v>58</v>
      </c>
      <c r="N20" s="67" t="s">
        <v>11</v>
      </c>
      <c r="O20" s="64">
        <v>265159.51</v>
      </c>
      <c r="S20" s="67" t="s">
        <v>11</v>
      </c>
    </row>
    <row r="21" spans="1:19" ht="15.75" x14ac:dyDescent="0.25">
      <c r="A21" s="56">
        <v>65298.25</v>
      </c>
      <c r="C21" s="56">
        <v>26614.01</v>
      </c>
      <c r="E21" s="56">
        <v>29074.25</v>
      </c>
      <c r="G21" s="65">
        <v>26614.01</v>
      </c>
      <c r="J21" s="64">
        <v>1410000</v>
      </c>
      <c r="M21" s="67" t="s">
        <v>58</v>
      </c>
      <c r="N21" s="67" t="s">
        <v>11</v>
      </c>
      <c r="O21" s="64">
        <v>1410000</v>
      </c>
      <c r="S21" s="67" t="s">
        <v>11</v>
      </c>
    </row>
    <row r="22" spans="1:19" ht="15.75" x14ac:dyDescent="0.25">
      <c r="A22" s="56">
        <v>49789.74</v>
      </c>
      <c r="C22" s="58"/>
      <c r="E22" s="56">
        <v>73538</v>
      </c>
      <c r="G22" s="58"/>
      <c r="J22" s="64">
        <v>1417000</v>
      </c>
      <c r="M22" s="67" t="s">
        <v>58</v>
      </c>
      <c r="N22" s="67" t="s">
        <v>11</v>
      </c>
      <c r="O22" s="64">
        <v>1417000</v>
      </c>
      <c r="S22" s="67" t="s">
        <v>11</v>
      </c>
    </row>
    <row r="23" spans="1:19" x14ac:dyDescent="0.25">
      <c r="A23" s="58"/>
      <c r="C23" s="58"/>
      <c r="E23" s="57"/>
      <c r="G23" s="58"/>
      <c r="J23" s="64">
        <v>1564407.45</v>
      </c>
      <c r="M23" s="67" t="s">
        <v>58</v>
      </c>
      <c r="N23" s="67" t="s">
        <v>50</v>
      </c>
      <c r="O23" s="64">
        <v>1564407.45</v>
      </c>
      <c r="S23" s="67" t="s">
        <v>11</v>
      </c>
    </row>
    <row r="24" spans="1:19" ht="15.75" x14ac:dyDescent="0.25">
      <c r="A24" s="56">
        <v>8332.7999999999993</v>
      </c>
      <c r="C24" s="56">
        <v>16704</v>
      </c>
      <c r="E24" s="56">
        <v>43810.57</v>
      </c>
      <c r="G24" s="65">
        <v>16704</v>
      </c>
      <c r="J24" s="64">
        <v>5486000</v>
      </c>
      <c r="M24" s="67" t="s">
        <v>58</v>
      </c>
      <c r="N24" s="67" t="s">
        <v>50</v>
      </c>
      <c r="O24" s="64">
        <v>5486000</v>
      </c>
      <c r="S24" s="67" t="s">
        <v>11</v>
      </c>
    </row>
    <row r="25" spans="1:19" ht="15.75" x14ac:dyDescent="0.25">
      <c r="A25" s="58"/>
      <c r="C25" s="56">
        <v>5016</v>
      </c>
      <c r="E25" s="56">
        <v>68916.800000000003</v>
      </c>
      <c r="G25" s="65">
        <v>5016</v>
      </c>
      <c r="J25" s="64">
        <v>92829.35</v>
      </c>
      <c r="M25" s="67" t="s">
        <v>59</v>
      </c>
      <c r="N25" s="67" t="s">
        <v>50</v>
      </c>
      <c r="O25" s="64">
        <v>92829.35</v>
      </c>
      <c r="S25" s="67" t="s">
        <v>11</v>
      </c>
    </row>
    <row r="26" spans="1:19" ht="15.75" x14ac:dyDescent="0.25">
      <c r="A26" s="56">
        <v>8340</v>
      </c>
      <c r="C26" s="57"/>
      <c r="E26" s="56">
        <v>99028</v>
      </c>
      <c r="G26" s="64">
        <v>8139.6</v>
      </c>
      <c r="J26" s="64">
        <v>62905.85</v>
      </c>
      <c r="M26" s="67" t="s">
        <v>59</v>
      </c>
      <c r="N26" s="69" t="s">
        <v>11</v>
      </c>
      <c r="O26" s="64">
        <v>62905.85</v>
      </c>
      <c r="S26" s="67" t="s">
        <v>11</v>
      </c>
    </row>
    <row r="27" spans="1:19" ht="15.75" x14ac:dyDescent="0.25">
      <c r="A27" s="56">
        <v>158865.60000000001</v>
      </c>
      <c r="C27" s="56">
        <v>46137</v>
      </c>
      <c r="E27" s="56">
        <v>7096.8</v>
      </c>
      <c r="G27" s="65">
        <v>46137</v>
      </c>
      <c r="J27" s="64">
        <v>908824</v>
      </c>
      <c r="M27" s="67" t="s">
        <v>59</v>
      </c>
      <c r="N27" s="67" t="s">
        <v>50</v>
      </c>
      <c r="O27" s="64">
        <v>908824</v>
      </c>
      <c r="S27" s="67" t="s">
        <v>11</v>
      </c>
    </row>
    <row r="28" spans="1:19" ht="15.75" x14ac:dyDescent="0.25">
      <c r="A28" s="56">
        <v>39938.400000000001</v>
      </c>
      <c r="C28" s="56">
        <v>2758.5</v>
      </c>
      <c r="E28" s="56">
        <v>10592.25</v>
      </c>
      <c r="G28" s="65">
        <v>2758.5</v>
      </c>
      <c r="J28" s="64">
        <v>328185.40000000002</v>
      </c>
      <c r="M28" s="67" t="s">
        <v>59</v>
      </c>
      <c r="N28" s="67" t="s">
        <v>50</v>
      </c>
      <c r="O28" s="64">
        <v>328185.40000000002</v>
      </c>
      <c r="S28" s="67" t="s">
        <v>11</v>
      </c>
    </row>
    <row r="29" spans="1:19" ht="15.75" x14ac:dyDescent="0.25">
      <c r="A29" s="56">
        <v>38163</v>
      </c>
      <c r="C29" s="58"/>
      <c r="E29" s="56">
        <v>134508</v>
      </c>
      <c r="G29" s="58"/>
      <c r="J29" s="64">
        <v>433778.4</v>
      </c>
      <c r="M29" s="67" t="s">
        <v>59</v>
      </c>
      <c r="N29" s="67" t="s">
        <v>50</v>
      </c>
      <c r="O29" s="64">
        <v>433778.4</v>
      </c>
      <c r="S29" s="67" t="s">
        <v>11</v>
      </c>
    </row>
    <row r="30" spans="1:19" ht="15.75" x14ac:dyDescent="0.25">
      <c r="A30" s="58"/>
      <c r="C30" s="56">
        <v>77676</v>
      </c>
      <c r="E30" s="56">
        <v>54952</v>
      </c>
      <c r="G30" s="65">
        <v>77676</v>
      </c>
      <c r="J30" s="64">
        <v>199006.88</v>
      </c>
      <c r="M30" s="67" t="s">
        <v>59</v>
      </c>
      <c r="N30" s="67" t="s">
        <v>50</v>
      </c>
      <c r="O30" s="64">
        <v>199006.88</v>
      </c>
      <c r="S30" s="67" t="s">
        <v>11</v>
      </c>
    </row>
    <row r="31" spans="1:19" ht="15.75" x14ac:dyDescent="0.25">
      <c r="A31" s="56">
        <v>60114.2</v>
      </c>
      <c r="C31" s="58"/>
      <c r="E31" s="56">
        <v>5554.5</v>
      </c>
      <c r="G31" s="58"/>
      <c r="J31" s="64">
        <v>9112.5</v>
      </c>
      <c r="M31" s="67" t="s">
        <v>60</v>
      </c>
      <c r="N31" s="67" t="s">
        <v>50</v>
      </c>
      <c r="O31" s="64">
        <v>9112.5</v>
      </c>
      <c r="S31" s="67" t="s">
        <v>11</v>
      </c>
    </row>
    <row r="32" spans="1:19" ht="15.75" x14ac:dyDescent="0.25">
      <c r="A32" s="56">
        <v>62905.85</v>
      </c>
      <c r="C32" s="56">
        <v>387519.75</v>
      </c>
      <c r="E32" s="57"/>
      <c r="G32" s="65">
        <v>387519.75</v>
      </c>
      <c r="J32" s="64">
        <v>177735</v>
      </c>
      <c r="M32" s="67" t="s">
        <v>60</v>
      </c>
      <c r="N32" s="67" t="s">
        <v>50</v>
      </c>
      <c r="O32" s="64">
        <v>177735</v>
      </c>
      <c r="S32" s="67" t="s">
        <v>11</v>
      </c>
    </row>
    <row r="33" spans="1:19" ht="15.75" x14ac:dyDescent="0.25">
      <c r="A33" s="56">
        <v>8041</v>
      </c>
      <c r="C33" s="56">
        <v>49091.44</v>
      </c>
      <c r="E33" s="56">
        <v>23339.200000000001</v>
      </c>
      <c r="G33" s="65">
        <v>49091.44</v>
      </c>
      <c r="J33" s="64">
        <v>2517857.39</v>
      </c>
      <c r="M33" s="67" t="s">
        <v>60</v>
      </c>
      <c r="N33" s="67" t="s">
        <v>50</v>
      </c>
      <c r="O33" s="64">
        <v>2517857.39</v>
      </c>
      <c r="S33" s="67" t="s">
        <v>11</v>
      </c>
    </row>
    <row r="34" spans="1:19" ht="15.75" x14ac:dyDescent="0.25">
      <c r="A34" s="56">
        <v>31817.25</v>
      </c>
      <c r="C34" s="56">
        <v>18870</v>
      </c>
      <c r="E34" s="56">
        <v>5862.4</v>
      </c>
      <c r="G34" s="65">
        <v>18870</v>
      </c>
      <c r="J34" s="64">
        <v>188482.86</v>
      </c>
      <c r="M34" s="67" t="s">
        <v>61</v>
      </c>
      <c r="N34" s="67" t="s">
        <v>50</v>
      </c>
      <c r="O34" s="64">
        <v>188482.86</v>
      </c>
      <c r="S34" s="67" t="s">
        <v>11</v>
      </c>
    </row>
    <row r="35" spans="1:19" ht="15.75" x14ac:dyDescent="0.25">
      <c r="A35" s="59" t="s">
        <v>9</v>
      </c>
      <c r="C35" s="56">
        <v>41296</v>
      </c>
      <c r="E35" s="56">
        <v>654997.6</v>
      </c>
      <c r="G35" s="65">
        <v>41296</v>
      </c>
      <c r="J35" s="64">
        <v>40686.400000000001</v>
      </c>
      <c r="M35" s="67" t="s">
        <v>61</v>
      </c>
      <c r="N35" s="67" t="s">
        <v>50</v>
      </c>
      <c r="O35" s="64">
        <v>40686.400000000001</v>
      </c>
      <c r="S35" s="67" t="s">
        <v>11</v>
      </c>
    </row>
    <row r="36" spans="1:19" ht="15.75" x14ac:dyDescent="0.25">
      <c r="A36" s="56">
        <v>22914</v>
      </c>
      <c r="C36" s="58"/>
      <c r="E36" s="56">
        <v>23112</v>
      </c>
      <c r="G36" s="58"/>
      <c r="J36" s="64">
        <v>2221606.35</v>
      </c>
      <c r="M36" s="67" t="s">
        <v>61</v>
      </c>
      <c r="N36" s="67" t="s">
        <v>50</v>
      </c>
      <c r="O36" s="64">
        <v>2221606.35</v>
      </c>
      <c r="S36" s="67" t="s">
        <v>11</v>
      </c>
    </row>
    <row r="37" spans="1:19" ht="15.75" x14ac:dyDescent="0.25">
      <c r="A37" s="56">
        <v>19846.400000000001</v>
      </c>
      <c r="C37" s="56">
        <v>11632</v>
      </c>
      <c r="E37" s="56">
        <v>4913.6000000000004</v>
      </c>
      <c r="G37" s="65">
        <v>11632</v>
      </c>
      <c r="J37" s="64">
        <v>24747.75</v>
      </c>
      <c r="M37" s="67" t="s">
        <v>61</v>
      </c>
      <c r="N37" s="67" t="s">
        <v>50</v>
      </c>
      <c r="O37" s="64">
        <v>24747.75</v>
      </c>
      <c r="S37" s="67" t="s">
        <v>11</v>
      </c>
    </row>
    <row r="38" spans="1:19" ht="15.75" x14ac:dyDescent="0.25">
      <c r="A38" s="56">
        <v>19716</v>
      </c>
      <c r="C38" s="56">
        <v>1375875</v>
      </c>
      <c r="E38" s="56">
        <v>5430</v>
      </c>
      <c r="G38" s="65">
        <v>1375875</v>
      </c>
      <c r="J38" s="64">
        <v>8177</v>
      </c>
      <c r="M38" s="67" t="s">
        <v>62</v>
      </c>
      <c r="N38" s="67" t="s">
        <v>50</v>
      </c>
      <c r="O38" s="64">
        <v>8177</v>
      </c>
      <c r="S38" s="67" t="s">
        <v>11</v>
      </c>
    </row>
    <row r="39" spans="1:19" ht="15.75" x14ac:dyDescent="0.25">
      <c r="A39" s="56">
        <v>9736.7999999999993</v>
      </c>
      <c r="C39" s="56">
        <v>11016</v>
      </c>
      <c r="E39" s="56">
        <v>5700</v>
      </c>
      <c r="G39" s="65">
        <v>11016</v>
      </c>
      <c r="J39" s="64">
        <v>190451.5</v>
      </c>
      <c r="M39" s="67" t="s">
        <v>62</v>
      </c>
      <c r="N39" s="67" t="s">
        <v>50</v>
      </c>
      <c r="O39" s="64">
        <v>190451.5</v>
      </c>
      <c r="S39" s="67" t="s">
        <v>11</v>
      </c>
    </row>
    <row r="40" spans="1:19" ht="15.75" x14ac:dyDescent="0.25">
      <c r="A40" s="56">
        <v>9736.7999999999993</v>
      </c>
      <c r="C40" s="56">
        <v>35333.85</v>
      </c>
      <c r="E40" s="56">
        <v>5859</v>
      </c>
      <c r="G40" s="65">
        <v>35333.85</v>
      </c>
      <c r="J40" s="64">
        <v>12829</v>
      </c>
      <c r="M40" s="67" t="s">
        <v>62</v>
      </c>
      <c r="N40" s="67" t="s">
        <v>50</v>
      </c>
      <c r="O40" s="64">
        <v>12829</v>
      </c>
      <c r="S40" s="67" t="s">
        <v>11</v>
      </c>
    </row>
    <row r="41" spans="1:19" ht="15.75" x14ac:dyDescent="0.25">
      <c r="A41" s="56">
        <v>6442.4</v>
      </c>
      <c r="C41" s="58"/>
      <c r="E41" s="56">
        <v>2499.75</v>
      </c>
      <c r="G41" s="58"/>
      <c r="J41" s="64">
        <v>346572</v>
      </c>
      <c r="M41" s="67" t="s">
        <v>63</v>
      </c>
      <c r="N41" s="67" t="s">
        <v>50</v>
      </c>
      <c r="O41" s="64">
        <v>346572</v>
      </c>
      <c r="S41" s="67" t="s">
        <v>11</v>
      </c>
    </row>
    <row r="42" spans="1:19" ht="15.75" x14ac:dyDescent="0.25">
      <c r="A42" s="56">
        <v>10228.5</v>
      </c>
      <c r="C42" s="56">
        <v>56452.800000000003</v>
      </c>
      <c r="E42" s="56">
        <v>23516.25</v>
      </c>
      <c r="G42" s="65">
        <v>56452.800000000003</v>
      </c>
      <c r="J42" s="64">
        <v>3950</v>
      </c>
      <c r="M42" s="67" t="s">
        <v>63</v>
      </c>
      <c r="N42" s="67" t="s">
        <v>50</v>
      </c>
      <c r="O42" s="64">
        <v>3950</v>
      </c>
      <c r="S42" s="67" t="s">
        <v>11</v>
      </c>
    </row>
    <row r="43" spans="1:19" ht="15.75" x14ac:dyDescent="0.25">
      <c r="A43" s="56">
        <v>22361.4</v>
      </c>
      <c r="C43" s="56">
        <v>21453.15</v>
      </c>
      <c r="E43" s="57"/>
      <c r="G43" s="65">
        <v>21453.15</v>
      </c>
      <c r="J43" s="64">
        <v>693671</v>
      </c>
      <c r="M43" s="67" t="s">
        <v>63</v>
      </c>
      <c r="N43" s="67" t="s">
        <v>50</v>
      </c>
      <c r="O43" s="64">
        <v>693671</v>
      </c>
      <c r="S43" s="67" t="s">
        <v>11</v>
      </c>
    </row>
    <row r="44" spans="1:19" ht="15.75" x14ac:dyDescent="0.25">
      <c r="A44" s="56">
        <v>587862.4</v>
      </c>
      <c r="C44" s="58"/>
      <c r="E44" s="56">
        <v>2214</v>
      </c>
      <c r="G44" s="58"/>
      <c r="J44" s="64">
        <v>534510</v>
      </c>
      <c r="M44" s="67" t="s">
        <v>64</v>
      </c>
      <c r="N44" s="67" t="s">
        <v>50</v>
      </c>
      <c r="O44" s="64">
        <v>534510</v>
      </c>
      <c r="S44" s="67" t="s">
        <v>11</v>
      </c>
    </row>
    <row r="45" spans="1:19" ht="15.75" x14ac:dyDescent="0.25">
      <c r="A45" s="56">
        <v>26032.5</v>
      </c>
      <c r="C45" s="56">
        <v>96401.48</v>
      </c>
      <c r="E45" s="57"/>
      <c r="G45" s="65">
        <v>96401.48</v>
      </c>
      <c r="J45" s="64">
        <v>70614.600000000006</v>
      </c>
      <c r="M45" s="67" t="s">
        <v>64</v>
      </c>
      <c r="N45" s="67" t="s">
        <v>50</v>
      </c>
      <c r="O45" s="64">
        <v>70614.600000000006</v>
      </c>
      <c r="S45" s="67" t="s">
        <v>11</v>
      </c>
    </row>
    <row r="46" spans="1:19" ht="15.75" x14ac:dyDescent="0.25">
      <c r="A46" s="56">
        <v>9388.6</v>
      </c>
      <c r="C46" s="56">
        <v>7416</v>
      </c>
      <c r="E46" s="57"/>
      <c r="G46" s="65">
        <v>7416</v>
      </c>
      <c r="J46" s="64">
        <v>72567.899999999994</v>
      </c>
      <c r="M46" s="67" t="s">
        <v>64</v>
      </c>
      <c r="N46" s="67" t="s">
        <v>50</v>
      </c>
      <c r="O46" s="64">
        <v>72567.899999999994</v>
      </c>
      <c r="S46" s="67" t="s">
        <v>11</v>
      </c>
    </row>
    <row r="47" spans="1:19" ht="15.75" x14ac:dyDescent="0.25">
      <c r="A47" s="56">
        <v>81544.240000000005</v>
      </c>
      <c r="C47" s="56">
        <v>199131</v>
      </c>
      <c r="E47" s="56">
        <v>173985.28</v>
      </c>
      <c r="G47" s="65">
        <v>199131</v>
      </c>
      <c r="J47" s="64">
        <v>60357.599999999999</v>
      </c>
      <c r="M47" s="67" t="s">
        <v>64</v>
      </c>
      <c r="N47" s="67" t="s">
        <v>50</v>
      </c>
      <c r="O47" s="64">
        <v>60357.599999999999</v>
      </c>
      <c r="S47" s="67" t="s">
        <v>11</v>
      </c>
    </row>
    <row r="48" spans="1:19" ht="15.75" x14ac:dyDescent="0.25">
      <c r="A48" s="56">
        <v>6665.4</v>
      </c>
      <c r="C48" s="58"/>
      <c r="E48" s="56">
        <v>20322</v>
      </c>
      <c r="G48" s="58"/>
      <c r="J48" s="64">
        <v>153849.5</v>
      </c>
      <c r="M48" s="67" t="s">
        <v>64</v>
      </c>
      <c r="N48" s="67" t="s">
        <v>50</v>
      </c>
      <c r="O48" s="64">
        <v>153849.5</v>
      </c>
      <c r="S48" s="67" t="s">
        <v>11</v>
      </c>
    </row>
    <row r="49" spans="1:19" ht="15.75" x14ac:dyDescent="0.25">
      <c r="A49" s="56">
        <v>14792</v>
      </c>
      <c r="C49" s="58"/>
      <c r="E49" s="56">
        <v>98550</v>
      </c>
      <c r="G49" s="58"/>
      <c r="J49" s="64">
        <v>102407023</v>
      </c>
      <c r="M49" s="67" t="s">
        <v>65</v>
      </c>
      <c r="N49" s="67" t="s">
        <v>50</v>
      </c>
      <c r="O49" s="64">
        <v>102407023</v>
      </c>
      <c r="S49" s="67" t="s">
        <v>11</v>
      </c>
    </row>
    <row r="50" spans="1:19" ht="15.75" x14ac:dyDescent="0.25">
      <c r="A50" s="56">
        <v>5927.2</v>
      </c>
      <c r="C50" s="56">
        <v>149581.6</v>
      </c>
      <c r="E50" s="56">
        <v>361916.25</v>
      </c>
      <c r="G50" s="65">
        <v>149581.6</v>
      </c>
      <c r="J50" s="64">
        <v>93851.05</v>
      </c>
      <c r="M50" s="67" t="s">
        <v>65</v>
      </c>
      <c r="N50" s="67" t="s">
        <v>50</v>
      </c>
      <c r="O50" s="64">
        <v>93851.05</v>
      </c>
      <c r="S50" s="67" t="s">
        <v>11</v>
      </c>
    </row>
    <row r="51" spans="1:19" ht="15.75" x14ac:dyDescent="0.25">
      <c r="A51" s="56">
        <v>5562</v>
      </c>
      <c r="C51" s="56">
        <v>3967.04</v>
      </c>
      <c r="E51" s="56">
        <v>5087.2</v>
      </c>
      <c r="G51" s="65">
        <v>3967.04</v>
      </c>
      <c r="J51" s="64">
        <v>3768157.75</v>
      </c>
      <c r="M51" s="67" t="s">
        <v>66</v>
      </c>
      <c r="N51" s="67" t="s">
        <v>50</v>
      </c>
      <c r="O51" s="64">
        <v>3768157.75</v>
      </c>
      <c r="S51" s="67" t="s">
        <v>11</v>
      </c>
    </row>
    <row r="52" spans="1:19" ht="15.75" x14ac:dyDescent="0.25">
      <c r="A52" s="56">
        <v>52050</v>
      </c>
      <c r="C52" s="56">
        <v>322897.5</v>
      </c>
      <c r="E52" s="56">
        <v>55892.36</v>
      </c>
      <c r="G52" s="65">
        <v>322897.5</v>
      </c>
      <c r="J52" s="64">
        <v>10174.4</v>
      </c>
      <c r="M52" s="67" t="s">
        <v>66</v>
      </c>
      <c r="N52" s="67" t="s">
        <v>50</v>
      </c>
      <c r="O52" s="64">
        <v>10174.4</v>
      </c>
      <c r="S52" s="67" t="s">
        <v>11</v>
      </c>
    </row>
    <row r="53" spans="1:19" ht="15.75" x14ac:dyDescent="0.25">
      <c r="A53" s="56">
        <v>100446</v>
      </c>
      <c r="C53" s="58"/>
      <c r="E53" s="56">
        <v>35728.5</v>
      </c>
      <c r="G53" s="58"/>
      <c r="J53" s="64">
        <v>84445.6</v>
      </c>
      <c r="M53" s="67" t="s">
        <v>67</v>
      </c>
      <c r="N53" s="67" t="s">
        <v>50</v>
      </c>
      <c r="O53" s="64">
        <v>84445.6</v>
      </c>
      <c r="S53" s="67" t="s">
        <v>11</v>
      </c>
    </row>
    <row r="54" spans="1:19" ht="15.75" x14ac:dyDescent="0.25">
      <c r="A54" s="56">
        <v>2342.25</v>
      </c>
      <c r="C54" s="58"/>
      <c r="E54" s="56">
        <v>96489.75</v>
      </c>
      <c r="G54" s="58"/>
      <c r="J54" s="64">
        <v>65107.199999999997</v>
      </c>
      <c r="M54" s="67" t="s">
        <v>67</v>
      </c>
      <c r="N54" s="67" t="s">
        <v>50</v>
      </c>
      <c r="O54" s="64">
        <v>65107.199999999997</v>
      </c>
      <c r="S54" s="67" t="s">
        <v>11</v>
      </c>
    </row>
    <row r="55" spans="1:19" ht="15.75" x14ac:dyDescent="0.25">
      <c r="A55" s="56">
        <v>155919.20000000001</v>
      </c>
      <c r="C55" s="56">
        <v>8400</v>
      </c>
      <c r="E55" s="56">
        <v>3856</v>
      </c>
      <c r="G55" s="65">
        <v>8400</v>
      </c>
      <c r="J55" s="64">
        <v>157264</v>
      </c>
      <c r="M55" s="67" t="s">
        <v>67</v>
      </c>
      <c r="N55" s="67" t="s">
        <v>50</v>
      </c>
      <c r="O55" s="64">
        <v>157264</v>
      </c>
      <c r="S55" s="67" t="s">
        <v>11</v>
      </c>
    </row>
    <row r="56" spans="1:19" ht="15.75" x14ac:dyDescent="0.25">
      <c r="A56" s="56">
        <v>56457.9</v>
      </c>
      <c r="C56" s="56">
        <v>27660</v>
      </c>
      <c r="E56" s="56">
        <v>126210.7</v>
      </c>
      <c r="G56" s="65">
        <v>27660</v>
      </c>
      <c r="J56" s="64">
        <v>21148</v>
      </c>
      <c r="M56" s="67" t="s">
        <v>68</v>
      </c>
      <c r="N56" s="67" t="s">
        <v>50</v>
      </c>
      <c r="O56" s="64">
        <v>21148</v>
      </c>
      <c r="S56" s="67" t="s">
        <v>11</v>
      </c>
    </row>
    <row r="57" spans="1:19" ht="15.75" x14ac:dyDescent="0.25">
      <c r="A57" s="56">
        <v>25642.5</v>
      </c>
      <c r="C57" s="56">
        <v>12615.75</v>
      </c>
      <c r="E57" s="56">
        <v>10238.799999999999</v>
      </c>
      <c r="G57" s="65">
        <v>12615.75</v>
      </c>
      <c r="J57" s="64">
        <v>167642.65</v>
      </c>
      <c r="M57" s="67" t="s">
        <v>69</v>
      </c>
      <c r="N57" s="67" t="s">
        <v>50</v>
      </c>
      <c r="O57" s="64">
        <v>167642.65</v>
      </c>
      <c r="S57" s="67" t="s">
        <v>11</v>
      </c>
    </row>
    <row r="58" spans="1:19" ht="15.75" x14ac:dyDescent="0.25">
      <c r="A58" s="56">
        <v>4704</v>
      </c>
      <c r="C58" s="56">
        <v>183155.4</v>
      </c>
      <c r="E58" s="56">
        <v>146511</v>
      </c>
      <c r="G58" s="65">
        <v>183155.4</v>
      </c>
      <c r="J58" s="64">
        <v>830944.8</v>
      </c>
      <c r="M58" s="67" t="s">
        <v>69</v>
      </c>
      <c r="N58" s="67" t="s">
        <v>50</v>
      </c>
      <c r="O58" s="64">
        <v>830944.8</v>
      </c>
      <c r="S58" s="67" t="s">
        <v>11</v>
      </c>
    </row>
    <row r="59" spans="1:19" ht="15.75" x14ac:dyDescent="0.25">
      <c r="A59" s="56">
        <v>7370.4</v>
      </c>
      <c r="C59" s="56">
        <v>4784.6499999999996</v>
      </c>
      <c r="E59" s="56">
        <v>95036.25</v>
      </c>
      <c r="G59" s="65">
        <v>4784.6499999999996</v>
      </c>
      <c r="J59" s="64">
        <v>622960.80000000005</v>
      </c>
      <c r="M59" s="67" t="s">
        <v>69</v>
      </c>
      <c r="N59" s="67" t="s">
        <v>50</v>
      </c>
      <c r="O59" s="64">
        <v>622960.80000000005</v>
      </c>
      <c r="S59" s="67" t="s">
        <v>11</v>
      </c>
    </row>
    <row r="60" spans="1:19" ht="15.75" x14ac:dyDescent="0.25">
      <c r="A60" s="56">
        <v>2365.6</v>
      </c>
      <c r="C60" s="58"/>
      <c r="E60" s="57"/>
      <c r="G60" s="58"/>
      <c r="J60" s="64">
        <v>11078.05</v>
      </c>
      <c r="M60" s="67" t="s">
        <v>69</v>
      </c>
      <c r="N60" s="67" t="s">
        <v>50</v>
      </c>
      <c r="O60" s="64">
        <v>11078.05</v>
      </c>
      <c r="S60" s="67" t="s">
        <v>11</v>
      </c>
    </row>
    <row r="61" spans="1:19" ht="15.75" x14ac:dyDescent="0.25">
      <c r="A61" s="56">
        <v>10447.620000000001</v>
      </c>
      <c r="C61" s="58"/>
      <c r="E61" s="56">
        <v>44426.559999999998</v>
      </c>
      <c r="G61" s="58"/>
      <c r="J61" s="64">
        <v>1723363.55</v>
      </c>
      <c r="M61" s="67" t="s">
        <v>69</v>
      </c>
      <c r="N61" s="67" t="s">
        <v>50</v>
      </c>
      <c r="O61" s="64">
        <v>1723363.55</v>
      </c>
      <c r="S61" s="67" t="s">
        <v>11</v>
      </c>
    </row>
    <row r="62" spans="1:19" ht="15.75" x14ac:dyDescent="0.25">
      <c r="A62" s="56">
        <v>5190</v>
      </c>
      <c r="C62" s="58"/>
      <c r="E62" s="56">
        <v>11124</v>
      </c>
      <c r="G62" s="58"/>
      <c r="J62" s="64">
        <v>81532</v>
      </c>
      <c r="M62" s="67" t="s">
        <v>70</v>
      </c>
      <c r="N62" s="67" t="s">
        <v>50</v>
      </c>
      <c r="O62" s="64">
        <v>81532</v>
      </c>
      <c r="S62" s="67" t="s">
        <v>11</v>
      </c>
    </row>
    <row r="63" spans="1:19" ht="15.75" x14ac:dyDescent="0.25">
      <c r="A63" s="56">
        <v>5560</v>
      </c>
      <c r="C63" s="57"/>
      <c r="E63" s="56">
        <v>926322</v>
      </c>
      <c r="G63" s="64">
        <v>470682</v>
      </c>
      <c r="J63" s="64">
        <v>131543.35</v>
      </c>
      <c r="M63" s="67" t="s">
        <v>70</v>
      </c>
      <c r="N63" s="67" t="s">
        <v>50</v>
      </c>
      <c r="O63" s="64">
        <v>131543.35</v>
      </c>
      <c r="S63" s="67" t="s">
        <v>11</v>
      </c>
    </row>
    <row r="64" spans="1:19" ht="15.75" x14ac:dyDescent="0.25">
      <c r="A64" s="56">
        <v>16206</v>
      </c>
      <c r="C64" s="56">
        <v>6223.5</v>
      </c>
      <c r="E64" s="56">
        <v>3024.8</v>
      </c>
      <c r="G64" s="65">
        <v>6223.5</v>
      </c>
      <c r="J64" s="64">
        <v>4664</v>
      </c>
      <c r="M64" s="67" t="s">
        <v>70</v>
      </c>
      <c r="N64" s="67" t="s">
        <v>50</v>
      </c>
      <c r="O64" s="64">
        <v>4664</v>
      </c>
      <c r="S64" s="67" t="s">
        <v>11</v>
      </c>
    </row>
    <row r="65" spans="1:19" ht="15.75" x14ac:dyDescent="0.25">
      <c r="A65" s="56">
        <v>9576</v>
      </c>
      <c r="C65" s="56">
        <v>7387.5</v>
      </c>
      <c r="E65" s="56">
        <v>25705.599999999999</v>
      </c>
      <c r="G65" s="65">
        <v>7387.5</v>
      </c>
      <c r="J65" s="64">
        <v>13720</v>
      </c>
      <c r="M65" s="67" t="s">
        <v>71</v>
      </c>
      <c r="N65" s="67" t="s">
        <v>50</v>
      </c>
      <c r="O65" s="64">
        <v>13720</v>
      </c>
      <c r="S65" s="67" t="s">
        <v>11</v>
      </c>
    </row>
    <row r="66" spans="1:19" ht="15.75" x14ac:dyDescent="0.25">
      <c r="A66" s="56">
        <v>39841.199999999997</v>
      </c>
      <c r="C66" s="56">
        <v>4549.5</v>
      </c>
      <c r="E66" s="58"/>
      <c r="G66" s="65">
        <v>4549.5</v>
      </c>
      <c r="J66" s="64">
        <v>906379.5</v>
      </c>
      <c r="M66" s="67" t="s">
        <v>71</v>
      </c>
      <c r="N66" s="67" t="s">
        <v>50</v>
      </c>
      <c r="O66" s="64">
        <v>906379.5</v>
      </c>
      <c r="S66" s="67" t="s">
        <v>11</v>
      </c>
    </row>
    <row r="67" spans="1:19" ht="15.75" x14ac:dyDescent="0.25">
      <c r="A67" s="56">
        <v>40032.300000000003</v>
      </c>
      <c r="C67" s="58"/>
      <c r="E67" s="56">
        <v>67376.52</v>
      </c>
      <c r="G67" s="58"/>
      <c r="J67" s="64">
        <v>66840.600000000006</v>
      </c>
      <c r="M67" s="67" t="s">
        <v>71</v>
      </c>
      <c r="N67" s="67" t="s">
        <v>50</v>
      </c>
      <c r="O67" s="64">
        <v>66840.600000000006</v>
      </c>
      <c r="S67" s="67" t="s">
        <v>11</v>
      </c>
    </row>
    <row r="68" spans="1:19" ht="15.75" x14ac:dyDescent="0.25">
      <c r="A68" s="56">
        <v>23422.5</v>
      </c>
      <c r="C68" s="58"/>
      <c r="E68" s="56">
        <v>16632</v>
      </c>
      <c r="G68" s="58"/>
      <c r="J68" s="64">
        <v>2577186.2999999998</v>
      </c>
      <c r="M68" s="67" t="s">
        <v>71</v>
      </c>
      <c r="N68" s="67" t="s">
        <v>50</v>
      </c>
      <c r="O68" s="64">
        <v>2577186.2999999998</v>
      </c>
      <c r="S68" s="67" t="s">
        <v>11</v>
      </c>
    </row>
    <row r="69" spans="1:19" ht="15.75" x14ac:dyDescent="0.25">
      <c r="A69" s="56">
        <v>5745</v>
      </c>
      <c r="C69" s="56">
        <v>8259.2000000000007</v>
      </c>
      <c r="E69" s="56">
        <v>8145</v>
      </c>
      <c r="G69" s="65">
        <v>8259.2000000000007</v>
      </c>
      <c r="J69" s="64">
        <v>165492</v>
      </c>
      <c r="M69" s="67" t="s">
        <v>71</v>
      </c>
      <c r="N69" s="67" t="s">
        <v>50</v>
      </c>
      <c r="O69" s="64">
        <v>165492</v>
      </c>
      <c r="S69" s="67" t="s">
        <v>11</v>
      </c>
    </row>
    <row r="70" spans="1:19" ht="15.75" x14ac:dyDescent="0.25">
      <c r="A70" s="58"/>
      <c r="C70" s="56">
        <v>41793</v>
      </c>
      <c r="E70" s="56">
        <v>7821</v>
      </c>
      <c r="G70" s="65">
        <v>41793</v>
      </c>
      <c r="J70" s="64">
        <v>12740</v>
      </c>
      <c r="M70" s="67" t="s">
        <v>72</v>
      </c>
      <c r="N70" s="67" t="s">
        <v>50</v>
      </c>
      <c r="O70" s="64">
        <v>12740</v>
      </c>
      <c r="S70" s="67" t="s">
        <v>11</v>
      </c>
    </row>
    <row r="71" spans="1:19" ht="15.75" x14ac:dyDescent="0.25">
      <c r="A71" s="56">
        <v>3127.5</v>
      </c>
      <c r="C71" s="56">
        <v>252510</v>
      </c>
      <c r="E71" s="56">
        <v>120138.45</v>
      </c>
      <c r="G71" s="65">
        <v>252510</v>
      </c>
      <c r="J71" s="64">
        <v>48851.199999999997</v>
      </c>
      <c r="M71" s="67" t="s">
        <v>72</v>
      </c>
      <c r="N71" s="67" t="s">
        <v>50</v>
      </c>
      <c r="O71" s="64">
        <v>48851.199999999997</v>
      </c>
      <c r="S71" s="67" t="s">
        <v>11</v>
      </c>
    </row>
    <row r="72" spans="1:19" ht="15.75" x14ac:dyDescent="0.25">
      <c r="A72" s="56">
        <v>121913.25</v>
      </c>
      <c r="C72" s="56">
        <v>12458.55</v>
      </c>
      <c r="E72" s="56">
        <v>10976</v>
      </c>
      <c r="G72" s="65">
        <v>12458.55</v>
      </c>
      <c r="J72" s="64">
        <v>1722027.42</v>
      </c>
      <c r="M72" s="67" t="s">
        <v>73</v>
      </c>
      <c r="N72" s="67" t="s">
        <v>50</v>
      </c>
      <c r="O72" s="64">
        <v>1722027.42</v>
      </c>
      <c r="S72" s="67" t="s">
        <v>11</v>
      </c>
    </row>
    <row r="73" spans="1:19" ht="15.75" x14ac:dyDescent="0.25">
      <c r="A73" s="56">
        <v>16954.400000000001</v>
      </c>
      <c r="C73" s="58"/>
      <c r="E73" s="56">
        <v>36214</v>
      </c>
      <c r="G73" s="58"/>
      <c r="J73" s="64">
        <v>1846007</v>
      </c>
      <c r="M73" s="67" t="s">
        <v>73</v>
      </c>
      <c r="N73" s="67" t="s">
        <v>50</v>
      </c>
      <c r="O73" s="64">
        <v>1846007</v>
      </c>
      <c r="S73" s="67" t="s">
        <v>11</v>
      </c>
    </row>
    <row r="74" spans="1:19" ht="15.75" x14ac:dyDescent="0.25">
      <c r="A74" s="56">
        <v>1289.9100000000001</v>
      </c>
      <c r="C74" s="58"/>
      <c r="E74" s="57"/>
      <c r="G74" s="58"/>
      <c r="J74" s="64">
        <v>770029.65</v>
      </c>
      <c r="M74" s="67" t="s">
        <v>74</v>
      </c>
      <c r="N74" s="67" t="s">
        <v>50</v>
      </c>
      <c r="O74" s="64">
        <v>770029.65</v>
      </c>
      <c r="S74" s="67" t="s">
        <v>11</v>
      </c>
    </row>
    <row r="75" spans="1:19" ht="15.75" x14ac:dyDescent="0.25">
      <c r="A75" s="56">
        <v>167817.60000000001</v>
      </c>
      <c r="C75" s="58"/>
      <c r="E75" s="56">
        <v>2507.4</v>
      </c>
      <c r="G75" s="58"/>
      <c r="J75" s="64">
        <v>1276624</v>
      </c>
      <c r="M75" s="67" t="s">
        <v>74</v>
      </c>
      <c r="N75" s="67" t="s">
        <v>50</v>
      </c>
      <c r="O75" s="64">
        <v>1276624</v>
      </c>
      <c r="S75" s="67" t="s">
        <v>11</v>
      </c>
    </row>
    <row r="76" spans="1:19" ht="15.75" x14ac:dyDescent="0.25">
      <c r="A76" s="56">
        <v>40044</v>
      </c>
      <c r="C76" s="56">
        <v>25595.200000000001</v>
      </c>
      <c r="E76" s="56">
        <v>13427.2</v>
      </c>
      <c r="G76" s="65">
        <v>25595.200000000001</v>
      </c>
      <c r="J76" s="64">
        <v>79544</v>
      </c>
      <c r="M76" s="67" t="s">
        <v>75</v>
      </c>
      <c r="N76" s="67" t="s">
        <v>50</v>
      </c>
      <c r="O76" s="64">
        <v>79544</v>
      </c>
      <c r="S76" s="67" t="s">
        <v>11</v>
      </c>
    </row>
    <row r="77" spans="1:19" ht="15.75" x14ac:dyDescent="0.25">
      <c r="A77" s="58"/>
      <c r="C77" s="56">
        <v>91172.25</v>
      </c>
      <c r="E77" s="56">
        <v>18805.5</v>
      </c>
      <c r="G77" s="65">
        <v>91172.25</v>
      </c>
      <c r="J77" s="64">
        <v>65245.5</v>
      </c>
      <c r="M77" s="67" t="s">
        <v>75</v>
      </c>
      <c r="N77" s="67" t="s">
        <v>50</v>
      </c>
      <c r="O77" s="64">
        <v>65245.5</v>
      </c>
      <c r="S77" s="67" t="s">
        <v>11</v>
      </c>
    </row>
    <row r="78" spans="1:19" x14ac:dyDescent="0.25">
      <c r="A78" s="58"/>
      <c r="C78" s="58"/>
      <c r="E78" s="57"/>
      <c r="G78" s="58"/>
      <c r="J78" s="64">
        <v>3726</v>
      </c>
      <c r="M78" s="67" t="s">
        <v>75</v>
      </c>
      <c r="N78" s="67" t="s">
        <v>50</v>
      </c>
      <c r="O78" s="64">
        <v>3726</v>
      </c>
      <c r="S78" s="67" t="s">
        <v>11</v>
      </c>
    </row>
    <row r="79" spans="1:19" ht="15.75" x14ac:dyDescent="0.25">
      <c r="A79" s="58"/>
      <c r="C79" s="57"/>
      <c r="E79" s="56">
        <v>31278.75</v>
      </c>
      <c r="G79" s="64">
        <v>45472</v>
      </c>
      <c r="J79" s="64">
        <v>1212792.8</v>
      </c>
      <c r="M79" s="67" t="s">
        <v>75</v>
      </c>
      <c r="N79" s="67" t="s">
        <v>50</v>
      </c>
      <c r="O79" s="64">
        <v>1212792.8</v>
      </c>
      <c r="S79" s="67" t="s">
        <v>11</v>
      </c>
    </row>
    <row r="80" spans="1:19" ht="15.75" x14ac:dyDescent="0.25">
      <c r="A80" s="56">
        <v>187194.55</v>
      </c>
      <c r="C80" s="58"/>
      <c r="E80" s="61">
        <v>695.25</v>
      </c>
      <c r="G80" s="58"/>
      <c r="J80" s="64">
        <v>1969150.4</v>
      </c>
      <c r="M80" s="67" t="s">
        <v>76</v>
      </c>
      <c r="N80" s="67" t="s">
        <v>50</v>
      </c>
      <c r="O80" s="64">
        <v>1969150.4</v>
      </c>
      <c r="S80" s="67" t="s">
        <v>11</v>
      </c>
    </row>
    <row r="81" spans="1:19" ht="15.75" x14ac:dyDescent="0.25">
      <c r="A81" s="56">
        <v>15540</v>
      </c>
      <c r="C81" s="56">
        <v>80014.91</v>
      </c>
      <c r="E81" s="56">
        <v>15532.8</v>
      </c>
      <c r="G81" s="65">
        <v>80014.91</v>
      </c>
      <c r="J81" s="64">
        <v>1909280</v>
      </c>
      <c r="M81" s="67" t="s">
        <v>77</v>
      </c>
      <c r="N81" s="67" t="s">
        <v>50</v>
      </c>
      <c r="O81" s="64">
        <v>1909280</v>
      </c>
      <c r="S81" s="67" t="s">
        <v>11</v>
      </c>
    </row>
    <row r="82" spans="1:19" ht="15.75" x14ac:dyDescent="0.25">
      <c r="A82" s="58"/>
      <c r="C82" s="56">
        <v>78433.73</v>
      </c>
      <c r="E82" s="56">
        <v>123336</v>
      </c>
      <c r="G82" s="65">
        <v>78433.73</v>
      </c>
      <c r="J82" s="64">
        <v>1365800</v>
      </c>
      <c r="M82" s="67" t="s">
        <v>77</v>
      </c>
      <c r="N82" s="67" t="s">
        <v>50</v>
      </c>
      <c r="O82" s="64">
        <v>1365800</v>
      </c>
      <c r="S82" s="67" t="s">
        <v>11</v>
      </c>
    </row>
    <row r="83" spans="1:19" ht="15.75" x14ac:dyDescent="0.25">
      <c r="A83" s="56">
        <v>403500</v>
      </c>
      <c r="C83" s="56">
        <v>12262.18</v>
      </c>
      <c r="E83" s="56">
        <v>127710</v>
      </c>
      <c r="G83" s="65">
        <v>12262.18</v>
      </c>
      <c r="J83" s="64">
        <v>26548.32</v>
      </c>
      <c r="M83" s="67" t="s">
        <v>77</v>
      </c>
      <c r="N83" s="67" t="s">
        <v>50</v>
      </c>
      <c r="O83" s="64">
        <v>26548.32</v>
      </c>
      <c r="S83" s="67" t="s">
        <v>11</v>
      </c>
    </row>
    <row r="84" spans="1:19" ht="15.75" x14ac:dyDescent="0.25">
      <c r="A84" s="56">
        <v>891836.15</v>
      </c>
      <c r="C84" s="56">
        <v>2934.4</v>
      </c>
      <c r="E84" s="56">
        <v>11616.8</v>
      </c>
      <c r="G84" s="65">
        <v>2934.4</v>
      </c>
      <c r="J84" s="64">
        <v>178580</v>
      </c>
      <c r="M84" s="67" t="s">
        <v>77</v>
      </c>
      <c r="N84" s="67" t="s">
        <v>50</v>
      </c>
      <c r="O84" s="64">
        <v>178580</v>
      </c>
      <c r="S84" s="67" t="s">
        <v>11</v>
      </c>
    </row>
    <row r="85" spans="1:19" ht="15.75" x14ac:dyDescent="0.25">
      <c r="A85" s="56">
        <v>19996.2</v>
      </c>
      <c r="C85" s="56">
        <v>9705.6</v>
      </c>
      <c r="E85" s="57"/>
      <c r="G85" s="65">
        <v>9705.6</v>
      </c>
      <c r="J85" s="64">
        <v>22580</v>
      </c>
      <c r="M85" s="67" t="s">
        <v>78</v>
      </c>
      <c r="N85" s="67" t="s">
        <v>50</v>
      </c>
      <c r="O85" s="64">
        <v>22580</v>
      </c>
      <c r="S85" s="67" t="s">
        <v>11</v>
      </c>
    </row>
    <row r="86" spans="1:19" ht="15.75" x14ac:dyDescent="0.25">
      <c r="A86" s="58"/>
      <c r="C86" s="56">
        <v>120750</v>
      </c>
      <c r="E86" s="56">
        <v>28312.9</v>
      </c>
      <c r="G86" s="65">
        <v>120750</v>
      </c>
      <c r="J86" s="64">
        <v>3389293.5</v>
      </c>
      <c r="M86" s="67" t="s">
        <v>78</v>
      </c>
      <c r="N86" s="67" t="s">
        <v>50</v>
      </c>
      <c r="O86" s="64">
        <v>3389293.5</v>
      </c>
      <c r="S86" s="67" t="s">
        <v>11</v>
      </c>
    </row>
    <row r="87" spans="1:19" ht="15.75" x14ac:dyDescent="0.25">
      <c r="A87" s="56">
        <v>19071.75</v>
      </c>
      <c r="C87" s="58"/>
      <c r="E87" s="56">
        <v>41763.199999999997</v>
      </c>
      <c r="G87" s="58"/>
      <c r="J87" s="64">
        <v>74619</v>
      </c>
      <c r="M87" s="67" t="s">
        <v>78</v>
      </c>
      <c r="N87" s="67" t="s">
        <v>50</v>
      </c>
      <c r="O87" s="64">
        <v>74619</v>
      </c>
      <c r="S87" s="67" t="s">
        <v>11</v>
      </c>
    </row>
    <row r="88" spans="1:19" ht="15.75" x14ac:dyDescent="0.25">
      <c r="A88" s="56">
        <v>466201.59999999998</v>
      </c>
      <c r="C88" s="56">
        <v>81528.2</v>
      </c>
      <c r="E88" s="56">
        <v>43605.599999999999</v>
      </c>
      <c r="G88" s="65">
        <v>81528.2</v>
      </c>
      <c r="J88" s="64">
        <v>311535.75</v>
      </c>
      <c r="M88" s="67" t="s">
        <v>78</v>
      </c>
      <c r="N88" s="67" t="s">
        <v>50</v>
      </c>
      <c r="O88" s="64">
        <v>311535.75</v>
      </c>
      <c r="S88" s="67" t="s">
        <v>11</v>
      </c>
    </row>
    <row r="89" spans="1:19" ht="15.75" x14ac:dyDescent="0.25">
      <c r="A89" s="56">
        <v>921520.25</v>
      </c>
      <c r="C89" s="56">
        <v>74166.880000000005</v>
      </c>
      <c r="E89" s="56">
        <v>14979</v>
      </c>
      <c r="G89" s="65">
        <v>74166.880000000005</v>
      </c>
      <c r="J89" s="64">
        <v>176321.5</v>
      </c>
      <c r="M89" s="67" t="s">
        <v>78</v>
      </c>
      <c r="N89" s="69" t="s">
        <v>11</v>
      </c>
      <c r="O89" s="64">
        <v>176321.5</v>
      </c>
      <c r="S89" s="67" t="s">
        <v>11</v>
      </c>
    </row>
    <row r="90" spans="1:19" ht="15.75" x14ac:dyDescent="0.25">
      <c r="A90" s="56">
        <v>10248</v>
      </c>
      <c r="C90" s="58"/>
      <c r="E90" s="56">
        <v>172920.65</v>
      </c>
      <c r="G90" s="58"/>
      <c r="J90" s="64">
        <v>42989.4</v>
      </c>
      <c r="M90" s="67" t="s">
        <v>78</v>
      </c>
      <c r="N90" s="67" t="s">
        <v>50</v>
      </c>
      <c r="O90" s="64">
        <v>42989.4</v>
      </c>
      <c r="S90" s="67" t="s">
        <v>11</v>
      </c>
    </row>
    <row r="91" spans="1:19" x14ac:dyDescent="0.25">
      <c r="A91" s="58"/>
      <c r="C91" s="58"/>
      <c r="E91" s="58"/>
      <c r="G91" s="58"/>
      <c r="J91" s="64">
        <v>3753492.75</v>
      </c>
      <c r="M91" s="67" t="s">
        <v>78</v>
      </c>
      <c r="N91" s="67" t="s">
        <v>50</v>
      </c>
      <c r="O91" s="64">
        <v>3753492.75</v>
      </c>
      <c r="S91" s="67" t="s">
        <v>11</v>
      </c>
    </row>
    <row r="92" spans="1:19" ht="15.75" x14ac:dyDescent="0.25">
      <c r="A92" s="58"/>
      <c r="C92" s="58"/>
      <c r="E92" s="56">
        <v>9623.8799999999992</v>
      </c>
      <c r="G92" s="58"/>
      <c r="J92" s="64">
        <v>22105.599999999999</v>
      </c>
      <c r="M92" s="67" t="s">
        <v>78</v>
      </c>
      <c r="N92" s="67" t="s">
        <v>50</v>
      </c>
      <c r="O92" s="64">
        <v>22105.599999999999</v>
      </c>
      <c r="S92" s="67" t="s">
        <v>11</v>
      </c>
    </row>
    <row r="93" spans="1:19" ht="15.75" x14ac:dyDescent="0.25">
      <c r="A93" s="56">
        <v>4709.3999999999996</v>
      </c>
      <c r="C93" s="56">
        <v>40512.75</v>
      </c>
      <c r="E93" s="56">
        <v>27662.400000000001</v>
      </c>
      <c r="G93" s="65">
        <v>40512.75</v>
      </c>
      <c r="J93" s="64">
        <v>952594.97</v>
      </c>
      <c r="M93" s="67" t="s">
        <v>79</v>
      </c>
      <c r="N93" s="67" t="s">
        <v>50</v>
      </c>
      <c r="O93" s="64">
        <v>952594.97</v>
      </c>
      <c r="S93" s="67" t="s">
        <v>11</v>
      </c>
    </row>
    <row r="94" spans="1:19" ht="15.75" x14ac:dyDescent="0.25">
      <c r="A94" s="56">
        <v>6182.4</v>
      </c>
      <c r="C94" s="58"/>
      <c r="E94" s="57"/>
      <c r="G94" s="58"/>
      <c r="J94" s="64">
        <v>55270</v>
      </c>
      <c r="M94" s="67" t="s">
        <v>79</v>
      </c>
      <c r="N94" s="67" t="s">
        <v>50</v>
      </c>
      <c r="O94" s="64">
        <v>55270</v>
      </c>
      <c r="S94" s="67" t="s">
        <v>11</v>
      </c>
    </row>
    <row r="95" spans="1:19" ht="15.75" x14ac:dyDescent="0.25">
      <c r="A95" s="56">
        <v>14193.6</v>
      </c>
      <c r="C95" s="57"/>
      <c r="E95" s="56">
        <v>14940</v>
      </c>
      <c r="G95" s="64">
        <v>162450</v>
      </c>
      <c r="J95" s="64">
        <v>2671952.88</v>
      </c>
      <c r="M95" s="67" t="s">
        <v>79</v>
      </c>
      <c r="N95" s="67" t="s">
        <v>50</v>
      </c>
      <c r="O95" s="64">
        <v>2671952.88</v>
      </c>
      <c r="S95" s="67" t="s">
        <v>11</v>
      </c>
    </row>
    <row r="96" spans="1:19" ht="15.75" x14ac:dyDescent="0.25">
      <c r="A96" s="56">
        <v>137276.25</v>
      </c>
      <c r="C96" s="58"/>
      <c r="E96" s="56">
        <v>146821.5</v>
      </c>
      <c r="G96" s="58"/>
      <c r="J96" s="64">
        <v>69382.8</v>
      </c>
      <c r="M96" s="67" t="s">
        <v>80</v>
      </c>
      <c r="N96" s="67" t="s">
        <v>50</v>
      </c>
      <c r="O96" s="64">
        <v>69382.8</v>
      </c>
      <c r="S96" s="67" t="s">
        <v>11</v>
      </c>
    </row>
    <row r="97" spans="1:19" ht="15.75" x14ac:dyDescent="0.25">
      <c r="A97" s="56">
        <v>119617.5</v>
      </c>
      <c r="C97" s="58"/>
      <c r="E97" s="56">
        <v>9736</v>
      </c>
      <c r="G97" s="58"/>
      <c r="J97" s="64">
        <v>156669.45000000001</v>
      </c>
      <c r="M97" s="67" t="s">
        <v>80</v>
      </c>
      <c r="N97" s="67" t="s">
        <v>50</v>
      </c>
      <c r="O97" s="64">
        <v>156669.45000000001</v>
      </c>
      <c r="S97" s="67" t="s">
        <v>11</v>
      </c>
    </row>
    <row r="98" spans="1:19" ht="15.75" x14ac:dyDescent="0.25">
      <c r="A98" s="56">
        <v>5547</v>
      </c>
      <c r="C98" s="58"/>
      <c r="E98" s="56">
        <v>22953.599999999999</v>
      </c>
      <c r="G98" s="58"/>
      <c r="J98" s="64">
        <v>23463</v>
      </c>
      <c r="M98" s="67" t="s">
        <v>80</v>
      </c>
      <c r="N98" s="67" t="s">
        <v>50</v>
      </c>
      <c r="O98" s="64">
        <v>23463</v>
      </c>
      <c r="S98" s="67" t="s">
        <v>11</v>
      </c>
    </row>
    <row r="99" spans="1:19" ht="15.75" x14ac:dyDescent="0.25">
      <c r="A99" s="56">
        <v>12300</v>
      </c>
      <c r="C99" s="58"/>
      <c r="E99" s="56">
        <v>66929.850000000006</v>
      </c>
      <c r="G99" s="58"/>
      <c r="J99" s="64">
        <v>28431</v>
      </c>
      <c r="M99" s="67" t="s">
        <v>80</v>
      </c>
      <c r="N99" s="67" t="s">
        <v>50</v>
      </c>
      <c r="O99" s="64">
        <v>28431</v>
      </c>
      <c r="S99" s="67" t="s">
        <v>11</v>
      </c>
    </row>
    <row r="100" spans="1:19" ht="15.75" x14ac:dyDescent="0.25">
      <c r="A100" s="56">
        <v>8871</v>
      </c>
      <c r="C100" s="56">
        <v>6377.8</v>
      </c>
      <c r="E100" s="56">
        <v>7546</v>
      </c>
      <c r="G100" s="65">
        <v>6377.8</v>
      </c>
      <c r="J100" s="64">
        <v>612340</v>
      </c>
      <c r="M100" s="67" t="s">
        <v>80</v>
      </c>
      <c r="N100" s="67" t="s">
        <v>50</v>
      </c>
      <c r="O100" s="64">
        <v>612340</v>
      </c>
      <c r="S100" s="67" t="s">
        <v>11</v>
      </c>
    </row>
    <row r="101" spans="1:19" ht="15.75" x14ac:dyDescent="0.25">
      <c r="A101" s="56">
        <v>9190</v>
      </c>
      <c r="C101" s="57"/>
      <c r="E101" s="56">
        <v>37919.440000000002</v>
      </c>
      <c r="G101" s="64">
        <v>48646.84</v>
      </c>
      <c r="J101" s="64">
        <v>6442.4</v>
      </c>
      <c r="M101" s="67" t="s">
        <v>80</v>
      </c>
      <c r="N101" s="67" t="s">
        <v>11</v>
      </c>
      <c r="O101" s="64">
        <v>6442.4</v>
      </c>
      <c r="S101" s="67" t="s">
        <v>11</v>
      </c>
    </row>
    <row r="102" spans="1:19" ht="15.75" x14ac:dyDescent="0.25">
      <c r="A102" s="56">
        <v>4252.8</v>
      </c>
      <c r="C102" s="56">
        <v>13540.8</v>
      </c>
      <c r="E102" s="56">
        <v>25846.65</v>
      </c>
      <c r="G102" s="65">
        <v>13540.8</v>
      </c>
      <c r="J102" s="64">
        <v>193693.5</v>
      </c>
      <c r="M102" s="67" t="s">
        <v>80</v>
      </c>
      <c r="N102" s="67" t="s">
        <v>50</v>
      </c>
      <c r="O102" s="64">
        <v>193693.5</v>
      </c>
      <c r="S102" s="67" t="s">
        <v>11</v>
      </c>
    </row>
    <row r="103" spans="1:19" ht="15.75" x14ac:dyDescent="0.25">
      <c r="A103" s="56">
        <v>5548</v>
      </c>
      <c r="C103" s="58"/>
      <c r="E103" s="56">
        <v>55482.9</v>
      </c>
      <c r="G103" s="58"/>
      <c r="J103" s="64">
        <v>193693.5</v>
      </c>
      <c r="M103" s="67" t="s">
        <v>80</v>
      </c>
      <c r="N103" s="67" t="s">
        <v>50</v>
      </c>
      <c r="O103" s="64">
        <v>193693.5</v>
      </c>
      <c r="S103" s="67" t="s">
        <v>11</v>
      </c>
    </row>
    <row r="104" spans="1:19" ht="15.75" x14ac:dyDescent="0.25">
      <c r="A104" s="56">
        <v>710669.76</v>
      </c>
      <c r="C104" s="56">
        <v>75624</v>
      </c>
      <c r="E104" s="56">
        <v>25282.5</v>
      </c>
      <c r="G104" s="65">
        <v>75624</v>
      </c>
      <c r="J104" s="64">
        <v>926322</v>
      </c>
      <c r="M104" s="67" t="s">
        <v>80</v>
      </c>
      <c r="N104" s="69" t="s">
        <v>11</v>
      </c>
      <c r="O104" s="64">
        <v>926322</v>
      </c>
      <c r="S104" s="67" t="s">
        <v>11</v>
      </c>
    </row>
    <row r="105" spans="1:19" ht="15.75" x14ac:dyDescent="0.25">
      <c r="A105" s="56">
        <v>58022.25</v>
      </c>
      <c r="C105" s="58"/>
      <c r="E105" s="56">
        <v>7096.8</v>
      </c>
      <c r="G105" s="58"/>
      <c r="J105" s="64">
        <v>567774.1</v>
      </c>
      <c r="M105" s="67" t="s">
        <v>80</v>
      </c>
      <c r="N105" s="67" t="s">
        <v>50</v>
      </c>
      <c r="O105" s="64">
        <v>567774.1</v>
      </c>
      <c r="S105" s="67" t="s">
        <v>11</v>
      </c>
    </row>
    <row r="106" spans="1:19" ht="15.75" x14ac:dyDescent="0.25">
      <c r="A106" s="56">
        <v>318686.25</v>
      </c>
      <c r="C106" s="56">
        <v>12262.18</v>
      </c>
      <c r="E106" s="56">
        <v>38143.5</v>
      </c>
      <c r="G106" s="65">
        <v>12262.18</v>
      </c>
      <c r="J106" s="64">
        <v>197296.98</v>
      </c>
      <c r="M106" s="67" t="s">
        <v>80</v>
      </c>
      <c r="N106" s="67" t="s">
        <v>50</v>
      </c>
      <c r="O106" s="64">
        <v>197296.98</v>
      </c>
      <c r="S106" s="67" t="s">
        <v>11</v>
      </c>
    </row>
    <row r="107" spans="1:19" ht="15.75" x14ac:dyDescent="0.25">
      <c r="A107" s="58"/>
      <c r="C107" s="56">
        <v>16333.5</v>
      </c>
      <c r="E107" s="56">
        <v>100861.88</v>
      </c>
      <c r="G107" s="65">
        <v>16333.5</v>
      </c>
      <c r="J107" s="64">
        <v>30744</v>
      </c>
      <c r="M107" s="67" t="s">
        <v>81</v>
      </c>
      <c r="N107" s="67" t="s">
        <v>50</v>
      </c>
      <c r="O107" s="64">
        <v>30744</v>
      </c>
      <c r="S107" s="67" t="s">
        <v>11</v>
      </c>
    </row>
    <row r="108" spans="1:19" ht="15.75" x14ac:dyDescent="0.25">
      <c r="A108" s="56">
        <v>4723.2</v>
      </c>
      <c r="C108" s="58"/>
      <c r="E108" s="56">
        <v>5023.2</v>
      </c>
      <c r="G108" s="58"/>
      <c r="J108" s="64">
        <v>17777.7</v>
      </c>
      <c r="M108" s="67" t="s">
        <v>81</v>
      </c>
      <c r="N108" s="67" t="s">
        <v>11</v>
      </c>
      <c r="O108" s="64">
        <v>17777.7</v>
      </c>
      <c r="S108" s="67" t="s">
        <v>11</v>
      </c>
    </row>
    <row r="109" spans="1:19" ht="15.75" x14ac:dyDescent="0.25">
      <c r="A109" s="56">
        <v>180337.5</v>
      </c>
      <c r="C109" s="58"/>
      <c r="E109" s="56">
        <v>49474.44</v>
      </c>
      <c r="G109" s="58"/>
      <c r="J109" s="64">
        <v>141239.20000000001</v>
      </c>
      <c r="M109" s="67" t="s">
        <v>81</v>
      </c>
      <c r="N109" s="67" t="s">
        <v>50</v>
      </c>
      <c r="O109" s="64">
        <v>141239.20000000001</v>
      </c>
      <c r="S109" s="67" t="s">
        <v>11</v>
      </c>
    </row>
    <row r="110" spans="1:19" ht="15.75" x14ac:dyDescent="0.25">
      <c r="A110" s="56">
        <v>21625.7</v>
      </c>
      <c r="C110" s="56">
        <v>122082.3</v>
      </c>
      <c r="E110" s="56">
        <v>10592.25</v>
      </c>
      <c r="G110" s="65">
        <v>122082.3</v>
      </c>
      <c r="J110" s="64">
        <v>3219975</v>
      </c>
      <c r="M110" s="67" t="s">
        <v>81</v>
      </c>
      <c r="N110" s="67" t="s">
        <v>50</v>
      </c>
      <c r="O110" s="64">
        <v>3219975</v>
      </c>
      <c r="S110" s="67" t="s">
        <v>11</v>
      </c>
    </row>
    <row r="111" spans="1:19" ht="15.75" x14ac:dyDescent="0.25">
      <c r="A111" s="56">
        <v>65670</v>
      </c>
      <c r="C111" s="56">
        <v>18553.8</v>
      </c>
      <c r="E111" s="56">
        <v>16182</v>
      </c>
      <c r="G111" s="65">
        <v>18553.8</v>
      </c>
      <c r="J111" s="64">
        <v>691525</v>
      </c>
      <c r="M111" s="67" t="s">
        <v>82</v>
      </c>
      <c r="N111" s="69" t="s">
        <v>11</v>
      </c>
      <c r="O111" s="64">
        <v>691525</v>
      </c>
      <c r="S111" s="67" t="s">
        <v>11</v>
      </c>
    </row>
    <row r="112" spans="1:19" ht="15.75" x14ac:dyDescent="0.25">
      <c r="A112" s="56">
        <v>16717.8</v>
      </c>
      <c r="C112" s="57"/>
      <c r="E112" s="56">
        <v>81455.28</v>
      </c>
      <c r="G112" s="64">
        <v>27184</v>
      </c>
      <c r="J112" s="64">
        <v>141239.20000000001</v>
      </c>
      <c r="M112" s="67" t="s">
        <v>82</v>
      </c>
      <c r="N112" s="67" t="s">
        <v>50</v>
      </c>
      <c r="O112" s="64">
        <v>141239.20000000001</v>
      </c>
      <c r="S112" s="67" t="s">
        <v>11</v>
      </c>
    </row>
    <row r="113" spans="1:19" ht="15.75" x14ac:dyDescent="0.25">
      <c r="A113" s="56">
        <v>121663.5</v>
      </c>
      <c r="C113" s="58"/>
      <c r="E113" s="56">
        <v>2526161</v>
      </c>
      <c r="G113" s="58"/>
      <c r="J113" s="64">
        <v>1118351.2</v>
      </c>
      <c r="M113" s="67" t="s">
        <v>82</v>
      </c>
      <c r="N113" s="67" t="s">
        <v>50</v>
      </c>
      <c r="O113" s="64">
        <v>1118351.2</v>
      </c>
      <c r="S113" s="67" t="s">
        <v>11</v>
      </c>
    </row>
    <row r="114" spans="1:19" ht="15.75" x14ac:dyDescent="0.25">
      <c r="A114" s="56">
        <v>81837</v>
      </c>
      <c r="C114" s="58"/>
      <c r="E114" s="56">
        <v>46125.75</v>
      </c>
      <c r="G114" s="58"/>
      <c r="J114" s="64">
        <v>226528</v>
      </c>
      <c r="M114" s="67" t="s">
        <v>83</v>
      </c>
      <c r="N114" s="67" t="s">
        <v>50</v>
      </c>
      <c r="O114" s="64">
        <v>226528</v>
      </c>
      <c r="S114" s="67" t="s">
        <v>11</v>
      </c>
    </row>
    <row r="115" spans="1:19" ht="15.75" x14ac:dyDescent="0.25">
      <c r="A115" s="56">
        <v>165297</v>
      </c>
      <c r="C115" s="56">
        <v>71892</v>
      </c>
      <c r="E115" s="56">
        <v>160965</v>
      </c>
      <c r="G115" s="65">
        <v>71892</v>
      </c>
      <c r="J115" s="64">
        <v>1380398</v>
      </c>
      <c r="M115" s="67" t="s">
        <v>83</v>
      </c>
      <c r="N115" s="67" t="s">
        <v>50</v>
      </c>
      <c r="O115" s="64">
        <v>1380398</v>
      </c>
      <c r="S115" s="67" t="s">
        <v>11</v>
      </c>
    </row>
    <row r="116" spans="1:19" ht="15.75" x14ac:dyDescent="0.25">
      <c r="A116" s="56">
        <v>7370.4</v>
      </c>
      <c r="C116" s="58"/>
      <c r="E116" s="58"/>
      <c r="G116" s="58"/>
      <c r="J116" s="64">
        <v>18387</v>
      </c>
      <c r="M116" s="67" t="s">
        <v>83</v>
      </c>
      <c r="N116" s="67" t="s">
        <v>50</v>
      </c>
      <c r="O116" s="64">
        <v>18387</v>
      </c>
      <c r="S116" s="67" t="s">
        <v>11</v>
      </c>
    </row>
    <row r="117" spans="1:19" ht="15.75" x14ac:dyDescent="0.25">
      <c r="A117" s="56">
        <v>101936.3</v>
      </c>
      <c r="C117" s="56">
        <v>4904</v>
      </c>
      <c r="E117" s="56">
        <v>42324</v>
      </c>
      <c r="G117" s="65">
        <v>4904</v>
      </c>
      <c r="J117" s="64">
        <v>479674.2</v>
      </c>
      <c r="M117" s="67" t="s">
        <v>84</v>
      </c>
      <c r="N117" s="67" t="s">
        <v>50</v>
      </c>
      <c r="O117" s="64">
        <v>479674.2</v>
      </c>
      <c r="S117" s="67" t="s">
        <v>11</v>
      </c>
    </row>
    <row r="118" spans="1:19" ht="15.75" x14ac:dyDescent="0.25">
      <c r="A118" s="56">
        <v>4094.25</v>
      </c>
      <c r="C118" s="56">
        <v>355308.52</v>
      </c>
      <c r="E118" s="56">
        <v>34358.080000000002</v>
      </c>
      <c r="G118" s="65">
        <v>355308.52</v>
      </c>
      <c r="J118" s="64">
        <v>774028.66</v>
      </c>
      <c r="M118" s="67" t="s">
        <v>84</v>
      </c>
      <c r="N118" s="67" t="s">
        <v>50</v>
      </c>
      <c r="O118" s="64">
        <v>774028.66</v>
      </c>
      <c r="S118" s="67" t="s">
        <v>11</v>
      </c>
    </row>
    <row r="119" spans="1:19" ht="15.75" x14ac:dyDescent="0.25">
      <c r="A119" s="56">
        <v>8340</v>
      </c>
      <c r="C119" s="56">
        <v>24468</v>
      </c>
      <c r="E119" s="56">
        <v>4333.55</v>
      </c>
      <c r="G119" s="65">
        <v>24468</v>
      </c>
      <c r="J119" s="64">
        <v>72671.199999999997</v>
      </c>
      <c r="M119" s="67" t="s">
        <v>84</v>
      </c>
      <c r="N119" s="67" t="s">
        <v>50</v>
      </c>
      <c r="O119" s="64">
        <v>72671.199999999997</v>
      </c>
      <c r="S119" s="67" t="s">
        <v>11</v>
      </c>
    </row>
    <row r="120" spans="1:19" ht="15.75" x14ac:dyDescent="0.25">
      <c r="A120" s="56">
        <v>22368.799999999999</v>
      </c>
      <c r="C120" s="56">
        <v>17217</v>
      </c>
      <c r="E120" s="56">
        <v>5690.4</v>
      </c>
      <c r="G120" s="65">
        <v>17217</v>
      </c>
      <c r="J120" s="64">
        <v>96976.5</v>
      </c>
      <c r="M120" s="67" t="s">
        <v>85</v>
      </c>
      <c r="N120" s="69" t="s">
        <v>11</v>
      </c>
      <c r="O120" s="64">
        <v>96976.5</v>
      </c>
      <c r="S120" s="67" t="s">
        <v>11</v>
      </c>
    </row>
    <row r="121" spans="1:19" ht="15.75" x14ac:dyDescent="0.25">
      <c r="A121" s="56">
        <v>12927</v>
      </c>
      <c r="C121" s="56">
        <v>770203.6</v>
      </c>
      <c r="E121" s="56">
        <v>60807.05</v>
      </c>
      <c r="G121" s="65">
        <v>770203.6</v>
      </c>
      <c r="J121" s="64">
        <v>5190</v>
      </c>
      <c r="M121" s="67" t="s">
        <v>85</v>
      </c>
      <c r="N121" s="67" t="s">
        <v>50</v>
      </c>
      <c r="O121" s="64">
        <v>5190</v>
      </c>
      <c r="S121" s="67" t="s">
        <v>11</v>
      </c>
    </row>
    <row r="122" spans="1:19" ht="15.75" x14ac:dyDescent="0.25">
      <c r="A122" s="56">
        <v>2820.6</v>
      </c>
      <c r="C122" s="58"/>
      <c r="E122" s="57"/>
      <c r="G122" s="58"/>
      <c r="J122" s="64">
        <v>697386.6</v>
      </c>
      <c r="M122" s="67" t="s">
        <v>85</v>
      </c>
      <c r="N122" s="67" t="s">
        <v>50</v>
      </c>
      <c r="O122" s="64">
        <v>697386.6</v>
      </c>
      <c r="S122" s="67" t="s">
        <v>11</v>
      </c>
    </row>
    <row r="123" spans="1:19" ht="15.75" x14ac:dyDescent="0.25">
      <c r="A123" s="56">
        <v>787500</v>
      </c>
      <c r="C123" s="56">
        <v>129786.91</v>
      </c>
      <c r="E123" s="56">
        <v>4156.2</v>
      </c>
      <c r="G123" s="65">
        <v>129786.91</v>
      </c>
      <c r="J123" s="64">
        <v>130298.4</v>
      </c>
      <c r="M123" s="67" t="s">
        <v>85</v>
      </c>
      <c r="N123" s="67" t="s">
        <v>50</v>
      </c>
      <c r="O123" s="64">
        <v>130298.4</v>
      </c>
      <c r="S123" s="67" t="s">
        <v>11</v>
      </c>
    </row>
    <row r="124" spans="1:19" ht="15.75" x14ac:dyDescent="0.25">
      <c r="A124" s="56">
        <v>117078.95</v>
      </c>
      <c r="C124" s="58"/>
      <c r="E124" s="56">
        <v>61256.25</v>
      </c>
      <c r="G124" s="58"/>
      <c r="J124" s="64">
        <v>601217.65</v>
      </c>
      <c r="M124" s="67" t="s">
        <v>85</v>
      </c>
      <c r="N124" s="67" t="s">
        <v>50</v>
      </c>
      <c r="O124" s="64">
        <v>601217.65</v>
      </c>
      <c r="S124" s="67" t="s">
        <v>11</v>
      </c>
    </row>
    <row r="125" spans="1:19" ht="15.75" x14ac:dyDescent="0.25">
      <c r="A125" s="56">
        <v>20344</v>
      </c>
      <c r="C125" s="58"/>
      <c r="E125" s="56">
        <v>2080.5</v>
      </c>
      <c r="G125" s="58"/>
      <c r="J125" s="64">
        <v>50563.199999999997</v>
      </c>
      <c r="M125" s="67" t="s">
        <v>85</v>
      </c>
      <c r="N125" s="67" t="s">
        <v>50</v>
      </c>
      <c r="O125" s="64">
        <v>50563.199999999997</v>
      </c>
      <c r="S125" s="67" t="s">
        <v>11</v>
      </c>
    </row>
    <row r="126" spans="1:19" ht="15.75" x14ac:dyDescent="0.25">
      <c r="A126" s="56">
        <v>405175.89</v>
      </c>
      <c r="C126" s="60"/>
      <c r="E126" s="56">
        <v>30787.68</v>
      </c>
      <c r="G126" s="60"/>
      <c r="J126" s="64">
        <v>101986.4</v>
      </c>
      <c r="M126" s="67" t="s">
        <v>85</v>
      </c>
      <c r="N126" s="67" t="s">
        <v>50</v>
      </c>
      <c r="O126" s="64">
        <v>101986.4</v>
      </c>
      <c r="S126" s="67" t="s">
        <v>11</v>
      </c>
    </row>
    <row r="127" spans="1:19" ht="15.75" x14ac:dyDescent="0.25">
      <c r="A127" s="56">
        <v>22158.5</v>
      </c>
      <c r="C127" s="56">
        <v>357523.20000000001</v>
      </c>
      <c r="E127" s="56">
        <v>44427</v>
      </c>
      <c r="G127" s="65">
        <v>357523.20000000001</v>
      </c>
      <c r="J127" s="64">
        <v>3588038</v>
      </c>
      <c r="M127" s="67" t="s">
        <v>85</v>
      </c>
      <c r="N127" s="67" t="s">
        <v>50</v>
      </c>
      <c r="O127" s="64">
        <v>3588038</v>
      </c>
      <c r="S127" s="67" t="s">
        <v>11</v>
      </c>
    </row>
    <row r="128" spans="1:19" ht="15.75" x14ac:dyDescent="0.25">
      <c r="A128" s="56">
        <v>49080</v>
      </c>
      <c r="C128" s="56">
        <v>9935.25</v>
      </c>
      <c r="E128" s="56">
        <v>192446.25</v>
      </c>
      <c r="G128" s="65">
        <v>9935.25</v>
      </c>
      <c r="J128" s="64">
        <v>36744.800000000003</v>
      </c>
      <c r="M128" s="67" t="s">
        <v>85</v>
      </c>
      <c r="N128" s="67" t="s">
        <v>50</v>
      </c>
      <c r="O128" s="64">
        <v>36744.800000000003</v>
      </c>
      <c r="S128" s="67" t="s">
        <v>11</v>
      </c>
    </row>
    <row r="129" spans="1:19" ht="15.75" x14ac:dyDescent="0.25">
      <c r="A129" s="56">
        <v>10924.55</v>
      </c>
      <c r="C129" s="58"/>
      <c r="E129" s="56">
        <v>13810.5</v>
      </c>
      <c r="G129" s="58"/>
      <c r="J129" s="64">
        <v>173971.20000000001</v>
      </c>
      <c r="M129" s="67" t="s">
        <v>86</v>
      </c>
      <c r="N129" s="67" t="s">
        <v>50</v>
      </c>
      <c r="O129" s="64">
        <v>173971.20000000001</v>
      </c>
      <c r="S129" s="67" t="s">
        <v>11</v>
      </c>
    </row>
    <row r="130" spans="1:19" ht="15.75" x14ac:dyDescent="0.25">
      <c r="A130" s="56">
        <v>115062</v>
      </c>
      <c r="C130" s="56">
        <v>40681.279999999999</v>
      </c>
      <c r="E130" s="56">
        <v>7668.9</v>
      </c>
      <c r="G130" s="65">
        <v>40681.279999999999</v>
      </c>
      <c r="J130" s="64">
        <v>39142</v>
      </c>
      <c r="M130" s="67" t="s">
        <v>86</v>
      </c>
      <c r="N130" s="67" t="s">
        <v>50</v>
      </c>
      <c r="O130" s="64">
        <v>39142</v>
      </c>
      <c r="S130" s="67" t="s">
        <v>11</v>
      </c>
    </row>
    <row r="131" spans="1:19" ht="15.75" x14ac:dyDescent="0.25">
      <c r="A131" s="56">
        <v>46784</v>
      </c>
      <c r="C131" s="56">
        <v>291270</v>
      </c>
      <c r="E131" s="57"/>
      <c r="G131" s="65">
        <v>291270</v>
      </c>
      <c r="J131" s="64">
        <v>27735</v>
      </c>
      <c r="M131" s="67" t="s">
        <v>86</v>
      </c>
      <c r="N131" s="69" t="s">
        <v>11</v>
      </c>
      <c r="O131" s="64">
        <v>27735</v>
      </c>
      <c r="S131" s="67" t="s">
        <v>11</v>
      </c>
    </row>
    <row r="132" spans="1:19" ht="15.75" x14ac:dyDescent="0.25">
      <c r="A132" s="56">
        <v>19880.8</v>
      </c>
      <c r="C132" s="58"/>
      <c r="E132" s="56">
        <v>39175.5</v>
      </c>
      <c r="G132" s="58"/>
      <c r="J132" s="64">
        <v>136268</v>
      </c>
      <c r="M132" s="67" t="s">
        <v>87</v>
      </c>
      <c r="N132" s="67" t="s">
        <v>50</v>
      </c>
      <c r="O132" s="64">
        <v>136268</v>
      </c>
      <c r="S132" s="67" t="s">
        <v>11</v>
      </c>
    </row>
    <row r="133" spans="1:19" ht="15.75" x14ac:dyDescent="0.25">
      <c r="A133" s="56">
        <v>22382</v>
      </c>
      <c r="C133" s="58"/>
      <c r="E133" s="56">
        <v>4574.3999999999996</v>
      </c>
      <c r="G133" s="58"/>
      <c r="J133" s="64">
        <v>4013949.65</v>
      </c>
      <c r="M133" s="67" t="s">
        <v>87</v>
      </c>
      <c r="N133" s="67" t="s">
        <v>50</v>
      </c>
      <c r="O133" s="64">
        <v>4013949.65</v>
      </c>
      <c r="S133" s="67" t="s">
        <v>11</v>
      </c>
    </row>
    <row r="134" spans="1:19" ht="15.75" x14ac:dyDescent="0.25">
      <c r="A134" s="56">
        <v>25979.84</v>
      </c>
      <c r="C134" s="57"/>
      <c r="E134" s="56">
        <v>12032</v>
      </c>
      <c r="G134" s="64">
        <v>450460.5</v>
      </c>
      <c r="J134" s="64">
        <v>2738949.1</v>
      </c>
      <c r="M134" s="67" t="s">
        <v>87</v>
      </c>
      <c r="N134" s="67" t="s">
        <v>50</v>
      </c>
      <c r="O134" s="64">
        <v>2738949.1</v>
      </c>
      <c r="S134" s="67" t="s">
        <v>11</v>
      </c>
    </row>
    <row r="135" spans="1:19" ht="15.75" x14ac:dyDescent="0.25">
      <c r="A135" s="56">
        <v>25970.400000000001</v>
      </c>
      <c r="C135" s="56">
        <v>2798.4</v>
      </c>
      <c r="E135" s="56">
        <v>3615</v>
      </c>
      <c r="G135" s="65">
        <v>2798.4</v>
      </c>
      <c r="J135" s="64">
        <v>16206</v>
      </c>
      <c r="M135" s="67" t="s">
        <v>87</v>
      </c>
      <c r="N135" s="67" t="s">
        <v>11</v>
      </c>
      <c r="O135" s="64">
        <v>16206</v>
      </c>
      <c r="S135" s="67" t="s">
        <v>11</v>
      </c>
    </row>
    <row r="136" spans="1:19" ht="15.75" x14ac:dyDescent="0.25">
      <c r="A136" s="56">
        <v>29790</v>
      </c>
      <c r="C136" s="56">
        <v>117553.3</v>
      </c>
      <c r="E136" s="56">
        <v>56848.05</v>
      </c>
      <c r="G136" s="65">
        <v>117553.3</v>
      </c>
      <c r="J136" s="64">
        <v>100446</v>
      </c>
      <c r="M136" s="67" t="s">
        <v>87</v>
      </c>
      <c r="N136" s="67" t="s">
        <v>11</v>
      </c>
      <c r="O136" s="64">
        <v>100446</v>
      </c>
      <c r="S136" s="67" t="s">
        <v>11</v>
      </c>
    </row>
    <row r="137" spans="1:19" ht="15.75" x14ac:dyDescent="0.25">
      <c r="A137" s="56">
        <v>5554.5</v>
      </c>
      <c r="C137" s="58"/>
      <c r="E137" s="56">
        <v>72105.759999999995</v>
      </c>
      <c r="G137" s="58"/>
      <c r="J137" s="64">
        <v>2604</v>
      </c>
      <c r="M137" s="67" t="s">
        <v>88</v>
      </c>
      <c r="N137" s="67" t="s">
        <v>50</v>
      </c>
      <c r="O137" s="64">
        <v>2604</v>
      </c>
      <c r="S137" s="67" t="s">
        <v>11</v>
      </c>
    </row>
    <row r="138" spans="1:19" ht="15.75" x14ac:dyDescent="0.25">
      <c r="A138" s="58"/>
      <c r="C138" s="56">
        <v>84711.9</v>
      </c>
      <c r="E138" s="56">
        <v>77529.600000000006</v>
      </c>
      <c r="G138" s="65">
        <v>84711.9</v>
      </c>
      <c r="J138" s="64">
        <v>3178679.5</v>
      </c>
      <c r="M138" s="67" t="s">
        <v>88</v>
      </c>
      <c r="N138" s="67" t="s">
        <v>50</v>
      </c>
      <c r="O138" s="64">
        <v>3178679.5</v>
      </c>
      <c r="S138" s="67" t="s">
        <v>11</v>
      </c>
    </row>
    <row r="139" spans="1:19" ht="15.75" x14ac:dyDescent="0.25">
      <c r="A139" s="56">
        <v>62442.04</v>
      </c>
      <c r="C139" s="56">
        <v>330109.5</v>
      </c>
      <c r="E139" s="56">
        <v>13243</v>
      </c>
      <c r="G139" s="65">
        <v>330109.5</v>
      </c>
      <c r="J139" s="64">
        <v>81681.600000000006</v>
      </c>
      <c r="M139" s="67" t="s">
        <v>88</v>
      </c>
      <c r="N139" s="67" t="s">
        <v>50</v>
      </c>
      <c r="O139" s="64">
        <v>81681.600000000006</v>
      </c>
      <c r="S139" s="67" t="s">
        <v>11</v>
      </c>
    </row>
    <row r="140" spans="1:19" ht="15.75" x14ac:dyDescent="0.25">
      <c r="A140" s="56">
        <v>289988.8</v>
      </c>
      <c r="C140" s="58"/>
      <c r="E140" s="56">
        <v>429632</v>
      </c>
      <c r="G140" s="58"/>
      <c r="J140" s="64">
        <v>38944</v>
      </c>
      <c r="M140" s="67" t="s">
        <v>88</v>
      </c>
      <c r="N140" s="67" t="s">
        <v>11</v>
      </c>
      <c r="O140" s="64">
        <v>38944</v>
      </c>
      <c r="S140" s="67" t="s">
        <v>11</v>
      </c>
    </row>
    <row r="141" spans="1:19" ht="15.75" x14ac:dyDescent="0.25">
      <c r="A141" s="56">
        <v>12068</v>
      </c>
      <c r="C141" s="56">
        <v>17423.7</v>
      </c>
      <c r="E141" s="57"/>
      <c r="G141" s="65">
        <v>17423.7</v>
      </c>
      <c r="J141" s="64">
        <v>11022</v>
      </c>
      <c r="M141" s="67" t="s">
        <v>88</v>
      </c>
      <c r="N141" s="67" t="s">
        <v>50</v>
      </c>
      <c r="O141" s="64">
        <v>11022</v>
      </c>
      <c r="S141" s="67" t="s">
        <v>11</v>
      </c>
    </row>
    <row r="142" spans="1:19" ht="15.75" x14ac:dyDescent="0.25">
      <c r="A142" s="56">
        <v>259113</v>
      </c>
      <c r="C142" s="58"/>
      <c r="E142" s="56">
        <v>1240664.25</v>
      </c>
      <c r="G142" s="58"/>
      <c r="J142" s="64">
        <v>158400</v>
      </c>
      <c r="M142" s="67" t="s">
        <v>88</v>
      </c>
      <c r="N142" s="67" t="s">
        <v>50</v>
      </c>
      <c r="O142" s="64">
        <v>158400</v>
      </c>
      <c r="S142" s="67" t="s">
        <v>11</v>
      </c>
    </row>
    <row r="143" spans="1:19" ht="15.75" x14ac:dyDescent="0.25">
      <c r="A143" s="56">
        <v>37722</v>
      </c>
      <c r="C143" s="57"/>
      <c r="E143" s="56">
        <v>1240664.25</v>
      </c>
      <c r="G143" s="64">
        <v>1095280.2</v>
      </c>
      <c r="J143" s="64">
        <v>2330832</v>
      </c>
      <c r="M143" s="67" t="s">
        <v>88</v>
      </c>
      <c r="N143" s="67" t="s">
        <v>50</v>
      </c>
      <c r="O143" s="64">
        <v>2330832</v>
      </c>
      <c r="S143" s="67" t="s">
        <v>11</v>
      </c>
    </row>
    <row r="144" spans="1:19" ht="15.75" x14ac:dyDescent="0.25">
      <c r="A144" s="56">
        <v>28269</v>
      </c>
      <c r="C144" s="56">
        <v>199491.1</v>
      </c>
      <c r="E144" s="56">
        <v>136292.51999999999</v>
      </c>
      <c r="G144" s="65">
        <v>199491.1</v>
      </c>
      <c r="J144" s="64">
        <v>807111.9</v>
      </c>
      <c r="M144" s="67" t="s">
        <v>89</v>
      </c>
      <c r="N144" s="67" t="s">
        <v>50</v>
      </c>
      <c r="O144" s="64">
        <v>807111.9</v>
      </c>
      <c r="S144" s="67" t="s">
        <v>11</v>
      </c>
    </row>
    <row r="145" spans="1:19" ht="15.75" x14ac:dyDescent="0.25">
      <c r="A145" s="56">
        <v>7867.2</v>
      </c>
      <c r="C145" s="57"/>
      <c r="E145" s="56">
        <v>15744</v>
      </c>
      <c r="G145" s="57"/>
      <c r="J145" s="64">
        <v>64448.800000000003</v>
      </c>
      <c r="M145" s="67" t="s">
        <v>89</v>
      </c>
      <c r="N145" s="67" t="s">
        <v>50</v>
      </c>
      <c r="O145" s="64">
        <v>64448.800000000003</v>
      </c>
      <c r="S145" s="67" t="s">
        <v>11</v>
      </c>
    </row>
    <row r="146" spans="1:19" ht="15.75" x14ac:dyDescent="0.25">
      <c r="A146" s="56">
        <v>39379.199999999997</v>
      </c>
      <c r="C146" s="56">
        <v>60444</v>
      </c>
      <c r="E146" s="56">
        <v>3049.6</v>
      </c>
      <c r="G146" s="65">
        <v>60444.800000000003</v>
      </c>
      <c r="J146" s="64">
        <v>166670</v>
      </c>
      <c r="M146" s="67" t="s">
        <v>89</v>
      </c>
      <c r="N146" s="67" t="s">
        <v>50</v>
      </c>
      <c r="O146" s="64">
        <v>166670</v>
      </c>
      <c r="S146" s="67" t="s">
        <v>11</v>
      </c>
    </row>
    <row r="147" spans="1:19" ht="15.75" x14ac:dyDescent="0.25">
      <c r="A147" s="56">
        <v>73263</v>
      </c>
      <c r="C147" s="58"/>
      <c r="E147" s="56">
        <v>1055691.55</v>
      </c>
      <c r="G147" s="58"/>
      <c r="J147" s="64">
        <v>747081</v>
      </c>
      <c r="M147" s="67" t="s">
        <v>89</v>
      </c>
      <c r="N147" s="67" t="s">
        <v>50</v>
      </c>
      <c r="O147" s="64">
        <v>747081</v>
      </c>
      <c r="S147" s="67" t="s">
        <v>11</v>
      </c>
    </row>
    <row r="148" spans="1:19" ht="15.75" x14ac:dyDescent="0.25">
      <c r="A148" s="56">
        <v>1067776</v>
      </c>
      <c r="C148" s="58"/>
      <c r="E148" s="56">
        <v>81145.2</v>
      </c>
      <c r="G148" s="58"/>
      <c r="J148" s="64">
        <v>83503.8</v>
      </c>
      <c r="M148" s="67" t="s">
        <v>89</v>
      </c>
      <c r="N148" s="67" t="s">
        <v>11</v>
      </c>
      <c r="O148" s="64">
        <v>83503.8</v>
      </c>
      <c r="S148" s="67" t="s">
        <v>11</v>
      </c>
    </row>
    <row r="149" spans="1:19" ht="15.75" x14ac:dyDescent="0.25">
      <c r="A149" s="56">
        <v>54321</v>
      </c>
      <c r="C149" s="58"/>
      <c r="E149" s="56">
        <v>105768.44</v>
      </c>
      <c r="G149" s="58"/>
      <c r="J149" s="64">
        <v>1104956</v>
      </c>
      <c r="M149" s="67" t="s">
        <v>90</v>
      </c>
      <c r="N149" s="67" t="s">
        <v>50</v>
      </c>
      <c r="O149" s="64">
        <v>1104956</v>
      </c>
      <c r="S149" s="67" t="s">
        <v>11</v>
      </c>
    </row>
    <row r="150" spans="1:19" ht="15.75" x14ac:dyDescent="0.25">
      <c r="A150" s="56">
        <v>374989</v>
      </c>
      <c r="C150" s="58"/>
      <c r="E150" s="56">
        <v>41217.08</v>
      </c>
      <c r="G150" s="58"/>
      <c r="J150" s="64">
        <v>436280</v>
      </c>
      <c r="M150" s="67" t="s">
        <v>90</v>
      </c>
      <c r="N150" s="67" t="s">
        <v>50</v>
      </c>
      <c r="O150" s="64">
        <v>436280</v>
      </c>
      <c r="S150" s="67" t="s">
        <v>11</v>
      </c>
    </row>
    <row r="151" spans="1:19" ht="15.75" x14ac:dyDescent="0.25">
      <c r="A151" s="56">
        <v>15680</v>
      </c>
      <c r="C151" s="58"/>
      <c r="E151" s="56">
        <v>190440</v>
      </c>
      <c r="G151" s="58"/>
      <c r="J151" s="64">
        <v>76338.600000000006</v>
      </c>
      <c r="M151" s="67" t="s">
        <v>91</v>
      </c>
      <c r="N151" s="67" t="s">
        <v>50</v>
      </c>
      <c r="O151" s="64">
        <v>76338.600000000006</v>
      </c>
      <c r="S151" s="67" t="s">
        <v>11</v>
      </c>
    </row>
    <row r="152" spans="1:19" ht="15.75" x14ac:dyDescent="0.25">
      <c r="A152" s="56">
        <v>56425.440000000002</v>
      </c>
      <c r="C152" s="58"/>
      <c r="E152" s="57"/>
      <c r="G152" s="58"/>
      <c r="J152" s="64">
        <v>713202</v>
      </c>
      <c r="M152" s="67" t="s">
        <v>91</v>
      </c>
      <c r="N152" s="67" t="s">
        <v>50</v>
      </c>
      <c r="O152" s="64">
        <v>713202</v>
      </c>
      <c r="S152" s="67" t="s">
        <v>11</v>
      </c>
    </row>
    <row r="153" spans="1:19" ht="15.75" x14ac:dyDescent="0.25">
      <c r="A153" s="56">
        <v>26761.599999999999</v>
      </c>
      <c r="C153" s="56">
        <v>377385.6</v>
      </c>
      <c r="E153" s="56">
        <v>13272</v>
      </c>
      <c r="G153" s="65">
        <v>377385.6</v>
      </c>
      <c r="J153" s="64">
        <v>1319992</v>
      </c>
      <c r="M153" s="67" t="s">
        <v>91</v>
      </c>
      <c r="N153" s="67" t="s">
        <v>50</v>
      </c>
      <c r="O153" s="64">
        <v>1319992</v>
      </c>
      <c r="S153" s="67" t="s">
        <v>11</v>
      </c>
    </row>
    <row r="154" spans="1:19" ht="15.75" x14ac:dyDescent="0.25">
      <c r="A154" s="56">
        <v>83136</v>
      </c>
      <c r="C154" s="58"/>
      <c r="E154" s="58"/>
      <c r="G154" s="58"/>
      <c r="J154" s="64">
        <v>9576</v>
      </c>
      <c r="M154" s="67" t="s">
        <v>91</v>
      </c>
      <c r="N154" s="67" t="s">
        <v>11</v>
      </c>
      <c r="O154" s="64">
        <v>9576</v>
      </c>
      <c r="S154" s="67" t="s">
        <v>11</v>
      </c>
    </row>
    <row r="155" spans="1:19" ht="15.75" x14ac:dyDescent="0.25">
      <c r="A155" s="56">
        <v>9579.7999999999993</v>
      </c>
      <c r="C155" s="56">
        <v>81124.63</v>
      </c>
      <c r="E155" s="56">
        <v>92919</v>
      </c>
      <c r="G155" s="65">
        <v>81124.63</v>
      </c>
      <c r="J155" s="64">
        <v>11950</v>
      </c>
      <c r="M155" s="67" t="s">
        <v>91</v>
      </c>
      <c r="N155" s="67" t="s">
        <v>50</v>
      </c>
      <c r="O155" s="64">
        <v>11950</v>
      </c>
      <c r="S155" s="67" t="s">
        <v>11</v>
      </c>
    </row>
    <row r="156" spans="1:19" ht="15.75" x14ac:dyDescent="0.25">
      <c r="A156" s="56">
        <v>11581.6</v>
      </c>
      <c r="C156" s="56">
        <v>32526.9</v>
      </c>
      <c r="E156" s="56">
        <v>19278</v>
      </c>
      <c r="G156" s="65">
        <v>32526.9</v>
      </c>
      <c r="J156" s="64">
        <v>12670</v>
      </c>
      <c r="M156" s="67" t="s">
        <v>91</v>
      </c>
      <c r="N156" s="67" t="s">
        <v>50</v>
      </c>
      <c r="O156" s="64">
        <v>12670</v>
      </c>
      <c r="S156" s="67" t="s">
        <v>11</v>
      </c>
    </row>
    <row r="157" spans="1:19" ht="15.75" x14ac:dyDescent="0.25">
      <c r="A157" s="56">
        <v>127176</v>
      </c>
      <c r="C157" s="56">
        <v>25810.5</v>
      </c>
      <c r="E157" s="56">
        <v>87525</v>
      </c>
      <c r="G157" s="65">
        <v>25810.5</v>
      </c>
      <c r="J157" s="64">
        <v>66585</v>
      </c>
      <c r="M157" s="67" t="s">
        <v>92</v>
      </c>
      <c r="N157" s="67" t="s">
        <v>50</v>
      </c>
      <c r="O157" s="64">
        <v>66585</v>
      </c>
      <c r="S157" s="67" t="s">
        <v>11</v>
      </c>
    </row>
    <row r="158" spans="1:19" ht="15.75" x14ac:dyDescent="0.25">
      <c r="A158" s="56">
        <v>9144.9</v>
      </c>
      <c r="C158" s="57"/>
      <c r="E158" s="56">
        <v>27347.200000000001</v>
      </c>
      <c r="G158" s="64">
        <v>156153.20000000001</v>
      </c>
      <c r="J158" s="64">
        <v>123258.9</v>
      </c>
      <c r="M158" s="67" t="s">
        <v>92</v>
      </c>
      <c r="N158" s="67" t="s">
        <v>50</v>
      </c>
      <c r="O158" s="64">
        <v>123258.9</v>
      </c>
      <c r="S158" s="67" t="s">
        <v>11</v>
      </c>
    </row>
    <row r="159" spans="1:19" ht="15.75" x14ac:dyDescent="0.25">
      <c r="A159" s="56">
        <v>16074.9</v>
      </c>
      <c r="C159" s="58"/>
      <c r="E159" s="56">
        <v>216078</v>
      </c>
      <c r="G159" s="58"/>
      <c r="J159" s="64">
        <v>1730</v>
      </c>
      <c r="M159" s="67" t="s">
        <v>93</v>
      </c>
      <c r="N159" s="67" t="s">
        <v>50</v>
      </c>
      <c r="O159" s="64">
        <v>1730</v>
      </c>
      <c r="S159" s="67" t="s">
        <v>11</v>
      </c>
    </row>
    <row r="160" spans="1:19" ht="15.75" x14ac:dyDescent="0.25">
      <c r="A160" s="56">
        <v>53153.25</v>
      </c>
      <c r="C160" s="58"/>
      <c r="E160" s="56">
        <v>4826.3999999999996</v>
      </c>
      <c r="G160" s="58"/>
      <c r="J160" s="64">
        <v>14000</v>
      </c>
      <c r="M160" s="67" t="s">
        <v>93</v>
      </c>
      <c r="N160" s="67" t="s">
        <v>50</v>
      </c>
      <c r="O160" s="64">
        <v>14000</v>
      </c>
      <c r="S160" s="67" t="s">
        <v>11</v>
      </c>
    </row>
    <row r="161" spans="1:19" ht="15.75" x14ac:dyDescent="0.25">
      <c r="A161" s="56">
        <v>28116</v>
      </c>
      <c r="C161" s="56">
        <v>32079.599999999999</v>
      </c>
      <c r="E161" s="56">
        <v>17936</v>
      </c>
      <c r="G161" s="65">
        <v>32079.599999999999</v>
      </c>
      <c r="J161" s="64">
        <v>11419.8</v>
      </c>
      <c r="M161" s="67" t="s">
        <v>93</v>
      </c>
      <c r="N161" s="67" t="s">
        <v>50</v>
      </c>
      <c r="O161" s="64">
        <v>11419.8</v>
      </c>
      <c r="S161" s="67" t="s">
        <v>11</v>
      </c>
    </row>
    <row r="162" spans="1:19" ht="15.75" x14ac:dyDescent="0.25">
      <c r="A162" s="56">
        <v>66628.5</v>
      </c>
      <c r="C162" s="56">
        <v>28306.799999999999</v>
      </c>
      <c r="E162" s="56">
        <v>2220</v>
      </c>
      <c r="G162" s="65">
        <v>28306.799999999999</v>
      </c>
      <c r="J162" s="64">
        <v>1916352</v>
      </c>
      <c r="M162" s="67" t="s">
        <v>93</v>
      </c>
      <c r="N162" s="67" t="s">
        <v>50</v>
      </c>
      <c r="O162" s="64">
        <v>1916352</v>
      </c>
      <c r="S162" s="67" t="s">
        <v>11</v>
      </c>
    </row>
    <row r="163" spans="1:19" ht="15.75" x14ac:dyDescent="0.25">
      <c r="A163" s="56">
        <v>434900.25</v>
      </c>
      <c r="C163" s="56">
        <v>316330.95</v>
      </c>
      <c r="E163" s="56">
        <v>6664</v>
      </c>
      <c r="G163" s="65">
        <v>316330.95</v>
      </c>
      <c r="J163" s="64">
        <v>2375903</v>
      </c>
      <c r="M163" s="67" t="s">
        <v>93</v>
      </c>
      <c r="N163" s="67" t="s">
        <v>50</v>
      </c>
      <c r="O163" s="64">
        <v>2375903</v>
      </c>
      <c r="S163" s="67" t="s">
        <v>11</v>
      </c>
    </row>
    <row r="164" spans="1:19" ht="15.75" x14ac:dyDescent="0.25">
      <c r="A164" s="57"/>
      <c r="C164" s="56">
        <v>13746.8</v>
      </c>
      <c r="E164" s="57"/>
      <c r="G164" s="65">
        <v>13746.8</v>
      </c>
      <c r="J164" s="64">
        <v>474434</v>
      </c>
      <c r="M164" s="67" t="s">
        <v>93</v>
      </c>
      <c r="N164" s="67" t="s">
        <v>50</v>
      </c>
      <c r="O164" s="64">
        <v>474434</v>
      </c>
      <c r="S164" s="67" t="s">
        <v>11</v>
      </c>
    </row>
    <row r="165" spans="1:19" ht="15.75" x14ac:dyDescent="0.25">
      <c r="A165" s="56">
        <v>49205.440000000002</v>
      </c>
      <c r="C165" s="58"/>
      <c r="E165" s="56">
        <v>72735</v>
      </c>
      <c r="G165" s="58"/>
      <c r="J165" s="64">
        <v>4284198</v>
      </c>
      <c r="M165" s="67" t="s">
        <v>94</v>
      </c>
      <c r="N165" s="67" t="s">
        <v>50</v>
      </c>
      <c r="O165" s="64">
        <v>4284198</v>
      </c>
      <c r="S165" s="67" t="s">
        <v>11</v>
      </c>
    </row>
    <row r="166" spans="1:19" ht="15.75" x14ac:dyDescent="0.25">
      <c r="A166" s="56">
        <v>92370.4</v>
      </c>
      <c r="C166" s="58"/>
      <c r="E166" s="56">
        <v>1668.6</v>
      </c>
      <c r="G166" s="58"/>
      <c r="J166" s="64">
        <v>11526</v>
      </c>
      <c r="M166" s="67" t="s">
        <v>95</v>
      </c>
      <c r="N166" s="67" t="s">
        <v>50</v>
      </c>
      <c r="O166" s="64">
        <v>11526</v>
      </c>
      <c r="S166" s="67" t="s">
        <v>11</v>
      </c>
    </row>
    <row r="167" spans="1:19" ht="15.75" x14ac:dyDescent="0.25">
      <c r="A167" s="56">
        <v>216735</v>
      </c>
      <c r="C167" s="56">
        <v>69917.399999999994</v>
      </c>
      <c r="E167" s="56">
        <v>25627.439999999999</v>
      </c>
      <c r="G167" s="65">
        <v>69917.399999999994</v>
      </c>
      <c r="J167" s="64">
        <v>2155247</v>
      </c>
      <c r="M167" s="67" t="s">
        <v>95</v>
      </c>
      <c r="N167" s="67" t="s">
        <v>50</v>
      </c>
      <c r="O167" s="64">
        <v>2155247</v>
      </c>
      <c r="S167" s="67" t="s">
        <v>11</v>
      </c>
    </row>
    <row r="168" spans="1:19" ht="15.75" x14ac:dyDescent="0.25">
      <c r="A168" s="56">
        <v>57866.400000000001</v>
      </c>
      <c r="C168" s="56">
        <v>5289.2</v>
      </c>
      <c r="E168" s="57"/>
      <c r="G168" s="65">
        <v>5289.2</v>
      </c>
      <c r="J168" s="64">
        <v>116213.58</v>
      </c>
      <c r="M168" s="67" t="s">
        <v>95</v>
      </c>
      <c r="N168" s="67" t="s">
        <v>50</v>
      </c>
      <c r="O168" s="64">
        <v>116213.58</v>
      </c>
      <c r="S168" s="67" t="s">
        <v>11</v>
      </c>
    </row>
    <row r="169" spans="1:19" ht="15.75" x14ac:dyDescent="0.25">
      <c r="A169" s="56">
        <v>146412</v>
      </c>
      <c r="C169" s="56">
        <v>8008</v>
      </c>
      <c r="E169" s="56">
        <v>52878.15</v>
      </c>
      <c r="G169" s="65">
        <v>8008</v>
      </c>
      <c r="J169" s="64">
        <v>10223880</v>
      </c>
      <c r="M169" s="67" t="s">
        <v>95</v>
      </c>
      <c r="N169" s="67" t="s">
        <v>50</v>
      </c>
      <c r="O169" s="64">
        <v>10223880</v>
      </c>
      <c r="S169" s="67" t="s">
        <v>11</v>
      </c>
    </row>
    <row r="170" spans="1:19" ht="15.75" x14ac:dyDescent="0.25">
      <c r="A170" s="56">
        <v>39360</v>
      </c>
      <c r="C170" s="58"/>
      <c r="E170" s="56">
        <v>2773.5</v>
      </c>
      <c r="G170" s="58"/>
      <c r="J170" s="64">
        <v>404278.4</v>
      </c>
      <c r="M170" s="67" t="s">
        <v>95</v>
      </c>
      <c r="N170" s="67" t="s">
        <v>50</v>
      </c>
      <c r="O170" s="64">
        <v>404278.4</v>
      </c>
      <c r="S170" s="67" t="s">
        <v>11</v>
      </c>
    </row>
    <row r="171" spans="1:19" ht="15.75" x14ac:dyDescent="0.25">
      <c r="A171" s="56">
        <v>2666.4</v>
      </c>
      <c r="C171" s="57"/>
      <c r="E171" s="56">
        <v>21519</v>
      </c>
      <c r="G171" s="64">
        <v>3129542</v>
      </c>
      <c r="J171" s="64">
        <v>379011</v>
      </c>
      <c r="M171" s="67" t="s">
        <v>95</v>
      </c>
      <c r="N171" s="67" t="s">
        <v>11</v>
      </c>
      <c r="O171" s="64">
        <v>379011</v>
      </c>
      <c r="S171" s="67" t="s">
        <v>11</v>
      </c>
    </row>
    <row r="172" spans="1:19" ht="15.75" x14ac:dyDescent="0.25">
      <c r="A172" s="56">
        <v>7782.4</v>
      </c>
      <c r="C172" s="56">
        <v>17545.48</v>
      </c>
      <c r="E172" s="56">
        <v>6280.3</v>
      </c>
      <c r="G172" s="65">
        <v>17545.48</v>
      </c>
      <c r="J172" s="64">
        <v>29296</v>
      </c>
      <c r="M172" s="67" t="s">
        <v>95</v>
      </c>
      <c r="N172" s="67" t="s">
        <v>50</v>
      </c>
      <c r="O172" s="64">
        <v>29296</v>
      </c>
      <c r="S172" s="67" t="s">
        <v>11</v>
      </c>
    </row>
    <row r="173" spans="1:19" ht="15.75" x14ac:dyDescent="0.25">
      <c r="A173" s="56">
        <v>6272</v>
      </c>
      <c r="C173" s="56">
        <v>665161.1</v>
      </c>
      <c r="E173" s="56">
        <v>32364</v>
      </c>
      <c r="G173" s="65">
        <v>665161.1</v>
      </c>
      <c r="J173" s="64">
        <v>23479.200000000001</v>
      </c>
      <c r="M173" s="67" t="s">
        <v>96</v>
      </c>
      <c r="N173" s="67" t="s">
        <v>50</v>
      </c>
      <c r="O173" s="64">
        <v>23479.200000000001</v>
      </c>
      <c r="S173" s="67" t="s">
        <v>11</v>
      </c>
    </row>
    <row r="174" spans="1:19" ht="15.75" x14ac:dyDescent="0.25">
      <c r="A174" s="56">
        <v>136102.5</v>
      </c>
      <c r="C174" s="58"/>
      <c r="E174" s="56">
        <v>250442.25</v>
      </c>
      <c r="G174" s="58"/>
      <c r="J174" s="64">
        <v>7542.9</v>
      </c>
      <c r="M174" s="67" t="s">
        <v>96</v>
      </c>
      <c r="N174" s="67" t="s">
        <v>50</v>
      </c>
      <c r="O174" s="64">
        <v>7542.9</v>
      </c>
      <c r="S174" s="67" t="s">
        <v>11</v>
      </c>
    </row>
    <row r="175" spans="1:19" ht="15.75" x14ac:dyDescent="0.25">
      <c r="A175" s="58"/>
      <c r="C175" s="56">
        <v>65479.5</v>
      </c>
      <c r="E175" s="57"/>
      <c r="G175" s="65">
        <v>65479.5</v>
      </c>
      <c r="J175" s="64">
        <v>141537.54999999999</v>
      </c>
      <c r="M175" s="67" t="s">
        <v>96</v>
      </c>
      <c r="N175" s="67" t="s">
        <v>50</v>
      </c>
      <c r="O175" s="64">
        <v>141537.54999999999</v>
      </c>
      <c r="S175" s="67" t="s">
        <v>11</v>
      </c>
    </row>
    <row r="176" spans="1:19" ht="15.75" x14ac:dyDescent="0.25">
      <c r="A176" s="56">
        <v>6255.75</v>
      </c>
      <c r="C176" s="57"/>
      <c r="E176" s="56">
        <v>170415</v>
      </c>
      <c r="G176" s="64">
        <v>237791.8</v>
      </c>
      <c r="J176" s="64">
        <v>2713061.78</v>
      </c>
      <c r="M176" s="67" t="s">
        <v>96</v>
      </c>
      <c r="N176" s="67" t="s">
        <v>50</v>
      </c>
      <c r="O176" s="64">
        <v>2713061.78</v>
      </c>
      <c r="S176" s="67" t="s">
        <v>11</v>
      </c>
    </row>
    <row r="177" spans="1:19" ht="15.75" x14ac:dyDescent="0.25">
      <c r="A177" s="58"/>
      <c r="C177" s="58"/>
      <c r="E177" s="56">
        <v>7641.6</v>
      </c>
      <c r="G177" s="58"/>
      <c r="J177" s="64">
        <v>304572</v>
      </c>
      <c r="M177" s="67" t="s">
        <v>96</v>
      </c>
      <c r="N177" s="67" t="s">
        <v>50</v>
      </c>
      <c r="O177" s="64">
        <v>304572</v>
      </c>
      <c r="S177" s="67" t="s">
        <v>11</v>
      </c>
    </row>
    <row r="178" spans="1:19" ht="15.75" x14ac:dyDescent="0.25">
      <c r="A178" s="56">
        <v>10008.799999999999</v>
      </c>
      <c r="C178" s="56">
        <v>109879.6</v>
      </c>
      <c r="E178" s="56">
        <v>81646.399999999994</v>
      </c>
      <c r="G178" s="65">
        <v>109879.6</v>
      </c>
      <c r="J178" s="64">
        <v>500032.84</v>
      </c>
      <c r="M178" s="67" t="s">
        <v>96</v>
      </c>
      <c r="N178" s="67" t="s">
        <v>50</v>
      </c>
      <c r="O178" s="64">
        <v>500032.84</v>
      </c>
      <c r="S178" s="67" t="s">
        <v>11</v>
      </c>
    </row>
    <row r="179" spans="1:19" ht="15.75" x14ac:dyDescent="0.25">
      <c r="A179" s="56">
        <v>9435.6</v>
      </c>
      <c r="C179" s="56">
        <v>39390.800000000003</v>
      </c>
      <c r="E179" s="56">
        <v>1851000.75</v>
      </c>
      <c r="G179" s="65">
        <v>39390.800000000003</v>
      </c>
      <c r="J179" s="64">
        <v>150609.60000000001</v>
      </c>
      <c r="M179" s="67" t="s">
        <v>97</v>
      </c>
      <c r="N179" s="67" t="s">
        <v>50</v>
      </c>
      <c r="O179" s="64">
        <v>150609.60000000001</v>
      </c>
      <c r="S179" s="67" t="s">
        <v>11</v>
      </c>
    </row>
    <row r="180" spans="1:19" ht="15.75" x14ac:dyDescent="0.25">
      <c r="A180" s="58"/>
      <c r="C180" s="58"/>
      <c r="E180" s="56">
        <v>55482.9</v>
      </c>
      <c r="G180" s="58"/>
      <c r="J180" s="64">
        <v>35284.5</v>
      </c>
      <c r="M180" s="67" t="s">
        <v>97</v>
      </c>
      <c r="N180" s="67" t="s">
        <v>50</v>
      </c>
      <c r="O180" s="64">
        <v>35284.5</v>
      </c>
    </row>
    <row r="181" spans="1:19" ht="15.75" x14ac:dyDescent="0.25">
      <c r="A181" s="56">
        <v>100716.71</v>
      </c>
      <c r="C181" s="58"/>
      <c r="E181" s="57"/>
      <c r="G181" s="58"/>
      <c r="J181" s="64">
        <v>97358.8</v>
      </c>
      <c r="M181" s="67" t="s">
        <v>98</v>
      </c>
      <c r="N181" s="67" t="s">
        <v>50</v>
      </c>
      <c r="O181" s="64">
        <v>97358.8</v>
      </c>
    </row>
    <row r="182" spans="1:19" ht="15.75" x14ac:dyDescent="0.25">
      <c r="A182" s="56">
        <v>44150.1</v>
      </c>
      <c r="C182" s="58"/>
      <c r="E182" s="57"/>
      <c r="G182" s="58"/>
      <c r="J182" s="64">
        <v>466201.59999999998</v>
      </c>
      <c r="M182" s="67" t="s">
        <v>98</v>
      </c>
      <c r="N182" s="67" t="s">
        <v>11</v>
      </c>
      <c r="O182" s="64">
        <v>466201.59999999998</v>
      </c>
    </row>
    <row r="183" spans="1:19" ht="15.75" x14ac:dyDescent="0.25">
      <c r="A183" s="58"/>
      <c r="C183" s="58"/>
      <c r="E183" s="56">
        <v>92820.81</v>
      </c>
      <c r="G183" s="58"/>
      <c r="J183" s="64">
        <v>41128.199999999997</v>
      </c>
      <c r="M183" s="67" t="s">
        <v>98</v>
      </c>
      <c r="N183" s="67" t="s">
        <v>50</v>
      </c>
      <c r="O183" s="64">
        <v>41128.199999999997</v>
      </c>
    </row>
    <row r="184" spans="1:19" ht="15.75" x14ac:dyDescent="0.25">
      <c r="A184" s="56">
        <v>39577.699999999997</v>
      </c>
      <c r="C184" s="58"/>
      <c r="E184" s="60"/>
      <c r="G184" s="58"/>
      <c r="J184" s="64">
        <v>3544</v>
      </c>
      <c r="M184" s="67" t="s">
        <v>98</v>
      </c>
      <c r="N184" s="67" t="s">
        <v>50</v>
      </c>
      <c r="O184" s="64">
        <v>3544</v>
      </c>
    </row>
    <row r="185" spans="1:19" ht="15.75" x14ac:dyDescent="0.25">
      <c r="A185" s="56">
        <v>197160</v>
      </c>
      <c r="C185" s="56">
        <v>9798</v>
      </c>
      <c r="E185" s="56">
        <v>159669</v>
      </c>
      <c r="G185" s="65">
        <v>9798</v>
      </c>
      <c r="J185" s="64">
        <v>177499</v>
      </c>
      <c r="M185" s="67" t="s">
        <v>98</v>
      </c>
      <c r="N185" s="67" t="s">
        <v>50</v>
      </c>
      <c r="O185" s="64">
        <v>177499</v>
      </c>
    </row>
    <row r="186" spans="1:19" ht="15.75" x14ac:dyDescent="0.25">
      <c r="A186" s="56">
        <v>3260.25</v>
      </c>
      <c r="C186" s="57"/>
      <c r="E186" s="56">
        <v>97383.75</v>
      </c>
      <c r="G186" s="64">
        <v>29423.4</v>
      </c>
      <c r="J186" s="64">
        <v>549173.25</v>
      </c>
      <c r="M186" s="67" t="s">
        <v>99</v>
      </c>
      <c r="N186" s="67" t="s">
        <v>11</v>
      </c>
      <c r="O186" s="64">
        <v>549173.25</v>
      </c>
    </row>
    <row r="187" spans="1:19" ht="15.75" x14ac:dyDescent="0.25">
      <c r="A187" s="56">
        <v>36110.339999999997</v>
      </c>
      <c r="C187" s="56">
        <v>15273.3</v>
      </c>
      <c r="E187" s="56">
        <v>91407</v>
      </c>
      <c r="G187" s="65">
        <v>15273.3</v>
      </c>
      <c r="J187" s="64">
        <v>351770.28</v>
      </c>
      <c r="M187" s="67" t="s">
        <v>99</v>
      </c>
      <c r="N187" s="67" t="s">
        <v>50</v>
      </c>
      <c r="O187" s="64">
        <v>351770.28</v>
      </c>
    </row>
    <row r="188" spans="1:19" ht="15.75" x14ac:dyDescent="0.25">
      <c r="A188" s="56">
        <v>24988.799999999999</v>
      </c>
      <c r="C188" s="57"/>
      <c r="E188" s="56">
        <v>106029.88</v>
      </c>
      <c r="G188" s="64">
        <v>4439.3999999999996</v>
      </c>
      <c r="J188" s="64">
        <v>125312</v>
      </c>
      <c r="M188" s="67" t="s">
        <v>99</v>
      </c>
      <c r="N188" s="67" t="s">
        <v>50</v>
      </c>
      <c r="O188" s="64">
        <v>125312</v>
      </c>
    </row>
    <row r="189" spans="1:19" ht="15.75" x14ac:dyDescent="0.25">
      <c r="A189" s="56">
        <v>86069.5</v>
      </c>
      <c r="C189" s="56">
        <v>13744.75</v>
      </c>
      <c r="E189" s="56">
        <v>60250</v>
      </c>
      <c r="G189" s="65">
        <v>13744.75</v>
      </c>
      <c r="J189" s="64">
        <v>125098.38</v>
      </c>
      <c r="M189" s="67" t="s">
        <v>99</v>
      </c>
      <c r="N189" s="67" t="s">
        <v>50</v>
      </c>
      <c r="O189" s="64">
        <v>125098.38</v>
      </c>
    </row>
    <row r="190" spans="1:19" ht="15.75" x14ac:dyDescent="0.25">
      <c r="A190" s="58"/>
      <c r="C190" s="57"/>
      <c r="E190" s="56">
        <v>38716.5</v>
      </c>
      <c r="G190" s="64">
        <v>348277.25</v>
      </c>
      <c r="J190" s="64">
        <v>1201418</v>
      </c>
      <c r="M190" s="67" t="s">
        <v>100</v>
      </c>
      <c r="N190" s="67" t="s">
        <v>50</v>
      </c>
      <c r="O190" s="64">
        <v>1201418</v>
      </c>
    </row>
    <row r="191" spans="1:19" ht="15.75" x14ac:dyDescent="0.25">
      <c r="A191" s="56">
        <v>7673.6</v>
      </c>
      <c r="C191" s="56">
        <v>17766.900000000001</v>
      </c>
      <c r="E191" s="57"/>
      <c r="G191" s="65">
        <v>17766.900000000001</v>
      </c>
      <c r="J191" s="64">
        <v>27328</v>
      </c>
      <c r="M191" s="67" t="s">
        <v>100</v>
      </c>
      <c r="N191" s="67" t="s">
        <v>50</v>
      </c>
      <c r="O191" s="64">
        <v>27328</v>
      </c>
    </row>
    <row r="192" spans="1:19" ht="15.75" x14ac:dyDescent="0.25">
      <c r="A192" s="58"/>
      <c r="C192" s="56">
        <v>143420.9</v>
      </c>
      <c r="E192" s="56">
        <v>21301.599999999999</v>
      </c>
      <c r="G192" s="65">
        <v>143420.9</v>
      </c>
      <c r="J192" s="64">
        <v>7506.9</v>
      </c>
      <c r="M192" s="67" t="s">
        <v>101</v>
      </c>
      <c r="N192" s="67" t="s">
        <v>50</v>
      </c>
      <c r="O192" s="64">
        <v>7506.9</v>
      </c>
    </row>
    <row r="193" spans="1:15" ht="15.75" x14ac:dyDescent="0.25">
      <c r="A193" s="56">
        <v>11989.5</v>
      </c>
      <c r="C193" s="57"/>
      <c r="E193" s="58"/>
      <c r="G193" s="64">
        <v>6024.9</v>
      </c>
      <c r="J193" s="64">
        <v>190440</v>
      </c>
      <c r="M193" s="67" t="s">
        <v>101</v>
      </c>
      <c r="N193" s="67" t="s">
        <v>11</v>
      </c>
      <c r="O193" s="64">
        <v>190440</v>
      </c>
    </row>
    <row r="194" spans="1:15" ht="15.75" x14ac:dyDescent="0.25">
      <c r="A194" s="56">
        <v>95437.34</v>
      </c>
      <c r="C194" s="56">
        <v>4789.8999999999996</v>
      </c>
      <c r="E194" s="56">
        <v>2074.5</v>
      </c>
      <c r="G194" s="65">
        <v>4789.8999999999996</v>
      </c>
      <c r="J194" s="64">
        <v>2142</v>
      </c>
      <c r="M194" s="67" t="s">
        <v>101</v>
      </c>
      <c r="N194" s="67" t="s">
        <v>50</v>
      </c>
      <c r="O194" s="64">
        <v>2142</v>
      </c>
    </row>
    <row r="195" spans="1:15" ht="15.75" x14ac:dyDescent="0.25">
      <c r="A195" s="58"/>
      <c r="C195" s="56">
        <v>16751.3</v>
      </c>
      <c r="E195" s="56">
        <v>84127.44</v>
      </c>
      <c r="G195" s="65">
        <v>16751.3</v>
      </c>
      <c r="J195" s="64">
        <v>626810</v>
      </c>
      <c r="M195" s="67" t="s">
        <v>102</v>
      </c>
      <c r="N195" s="67" t="s">
        <v>50</v>
      </c>
      <c r="O195" s="64">
        <v>626810</v>
      </c>
    </row>
    <row r="196" spans="1:15" ht="15.75" x14ac:dyDescent="0.25">
      <c r="A196" s="56">
        <v>11989.5</v>
      </c>
      <c r="C196" s="57"/>
      <c r="E196" s="56">
        <v>19045.599999999999</v>
      </c>
      <c r="G196" s="64">
        <v>662986</v>
      </c>
      <c r="J196" s="64">
        <v>457300</v>
      </c>
      <c r="M196" s="67" t="s">
        <v>102</v>
      </c>
      <c r="N196" s="67" t="s">
        <v>11</v>
      </c>
      <c r="O196" s="64">
        <v>457300</v>
      </c>
    </row>
    <row r="197" spans="1:15" ht="15.75" x14ac:dyDescent="0.25">
      <c r="A197" s="56">
        <v>6824</v>
      </c>
      <c r="C197" s="57"/>
      <c r="E197" s="56">
        <v>1485719.5</v>
      </c>
      <c r="G197" s="64">
        <v>180129.15</v>
      </c>
      <c r="J197" s="64">
        <v>674738</v>
      </c>
      <c r="M197" s="67" t="s">
        <v>103</v>
      </c>
      <c r="N197" s="67" t="s">
        <v>50</v>
      </c>
      <c r="O197" s="64">
        <v>674738</v>
      </c>
    </row>
    <row r="198" spans="1:15" ht="15.75" x14ac:dyDescent="0.25">
      <c r="A198" s="58"/>
      <c r="C198" s="57"/>
      <c r="E198" s="56">
        <v>4394.3999999999996</v>
      </c>
      <c r="G198" s="64">
        <v>107893.06</v>
      </c>
      <c r="J198" s="64">
        <v>58901.25</v>
      </c>
      <c r="M198" s="67" t="s">
        <v>103</v>
      </c>
      <c r="N198" s="67" t="s">
        <v>50</v>
      </c>
      <c r="O198" s="64">
        <v>58901.25</v>
      </c>
    </row>
    <row r="199" spans="1:15" ht="15.75" x14ac:dyDescent="0.25">
      <c r="A199" s="56">
        <v>5842.5</v>
      </c>
      <c r="C199" s="56">
        <v>16069.2</v>
      </c>
      <c r="E199" s="56">
        <v>7663.6</v>
      </c>
      <c r="G199" s="65">
        <v>16069.2</v>
      </c>
      <c r="J199" s="64">
        <v>1502026</v>
      </c>
      <c r="M199" s="67" t="s">
        <v>103</v>
      </c>
      <c r="N199" s="67" t="s">
        <v>50</v>
      </c>
      <c r="O199" s="64">
        <v>1502026</v>
      </c>
    </row>
    <row r="200" spans="1:15" ht="15.75" x14ac:dyDescent="0.25">
      <c r="A200" s="56">
        <v>48147.199999999997</v>
      </c>
      <c r="C200" s="56">
        <v>4676.7</v>
      </c>
      <c r="E200" s="56">
        <v>132512.79999999999</v>
      </c>
      <c r="G200" s="65">
        <v>4676.7</v>
      </c>
      <c r="J200" s="64">
        <v>1045760</v>
      </c>
      <c r="M200" s="67" t="s">
        <v>104</v>
      </c>
      <c r="N200" s="67" t="s">
        <v>50</v>
      </c>
      <c r="O200" s="64">
        <v>1045760</v>
      </c>
    </row>
    <row r="201" spans="1:15" ht="15.75" x14ac:dyDescent="0.25">
      <c r="A201" s="56">
        <v>19162.45</v>
      </c>
      <c r="C201" s="56">
        <v>48533.47</v>
      </c>
      <c r="E201" s="58"/>
      <c r="G201" s="65">
        <v>48533.47</v>
      </c>
      <c r="J201" s="64">
        <v>29418.75</v>
      </c>
      <c r="M201" s="67" t="s">
        <v>104</v>
      </c>
      <c r="N201" s="67" t="s">
        <v>11</v>
      </c>
      <c r="O201" s="64">
        <v>29418.75</v>
      </c>
    </row>
    <row r="202" spans="1:15" ht="15.75" x14ac:dyDescent="0.25">
      <c r="A202" s="58"/>
      <c r="C202" s="56">
        <v>99266.52</v>
      </c>
      <c r="E202" s="56">
        <v>24808.95</v>
      </c>
      <c r="G202" s="65">
        <v>99266.52</v>
      </c>
      <c r="J202" s="64">
        <v>3008589</v>
      </c>
      <c r="M202" s="67" t="s">
        <v>104</v>
      </c>
      <c r="N202" s="67" t="s">
        <v>50</v>
      </c>
      <c r="O202" s="64">
        <v>3008589</v>
      </c>
    </row>
    <row r="203" spans="1:15" ht="15.75" x14ac:dyDescent="0.25">
      <c r="A203" s="56">
        <v>13930</v>
      </c>
      <c r="C203" s="58"/>
      <c r="E203" s="56">
        <v>382050</v>
      </c>
      <c r="G203" s="58"/>
      <c r="J203" s="64">
        <v>12406.2</v>
      </c>
      <c r="M203" s="67" t="s">
        <v>105</v>
      </c>
      <c r="N203" s="67" t="s">
        <v>50</v>
      </c>
      <c r="O203" s="64">
        <v>12406.2</v>
      </c>
    </row>
    <row r="204" spans="1:15" ht="15.75" x14ac:dyDescent="0.25">
      <c r="A204" s="56">
        <v>291864.65000000002</v>
      </c>
      <c r="C204" s="56">
        <v>127134</v>
      </c>
      <c r="E204" s="57"/>
      <c r="G204" s="65">
        <v>127134</v>
      </c>
      <c r="J204" s="64">
        <v>368562.04</v>
      </c>
      <c r="M204" s="67" t="s">
        <v>105</v>
      </c>
      <c r="N204" s="67" t="s">
        <v>50</v>
      </c>
      <c r="O204" s="64">
        <v>368562.04</v>
      </c>
    </row>
    <row r="205" spans="1:15" ht="15.75" x14ac:dyDescent="0.25">
      <c r="A205" s="56">
        <v>67620</v>
      </c>
      <c r="C205" s="57"/>
      <c r="E205" s="58"/>
      <c r="G205" s="64">
        <v>454975.5</v>
      </c>
      <c r="J205" s="64">
        <v>5072512</v>
      </c>
      <c r="M205" s="67" t="s">
        <v>105</v>
      </c>
      <c r="N205" s="67" t="s">
        <v>50</v>
      </c>
      <c r="O205" s="64">
        <v>5072512</v>
      </c>
    </row>
    <row r="206" spans="1:15" ht="15.75" x14ac:dyDescent="0.25">
      <c r="A206" s="56">
        <v>10173</v>
      </c>
      <c r="C206" s="57"/>
      <c r="E206" s="56">
        <v>32553</v>
      </c>
      <c r="G206" s="64">
        <v>1220570.3999999999</v>
      </c>
      <c r="J206" s="64">
        <v>1615624</v>
      </c>
      <c r="M206" s="67" t="s">
        <v>106</v>
      </c>
      <c r="N206" s="67" t="s">
        <v>50</v>
      </c>
      <c r="O206" s="64">
        <v>1615624</v>
      </c>
    </row>
    <row r="207" spans="1:15" ht="15.75" x14ac:dyDescent="0.25">
      <c r="A207" s="58"/>
      <c r="C207" s="57"/>
      <c r="E207" s="56">
        <v>114740.25</v>
      </c>
      <c r="G207" s="64">
        <v>177019.33</v>
      </c>
      <c r="J207" s="64">
        <v>3084059.32</v>
      </c>
      <c r="M207" s="67" t="s">
        <v>106</v>
      </c>
      <c r="N207" s="67" t="s">
        <v>50</v>
      </c>
      <c r="O207" s="64">
        <v>3084059.32</v>
      </c>
    </row>
    <row r="208" spans="1:15" ht="15.75" x14ac:dyDescent="0.25">
      <c r="A208" s="56">
        <v>43164</v>
      </c>
      <c r="C208" s="56">
        <v>9029.07</v>
      </c>
      <c r="E208" s="56">
        <v>55110</v>
      </c>
      <c r="G208" s="65">
        <v>9029.07</v>
      </c>
      <c r="J208" s="64">
        <v>1098496.8</v>
      </c>
      <c r="M208" s="67" t="s">
        <v>106</v>
      </c>
      <c r="N208" s="67" t="s">
        <v>50</v>
      </c>
      <c r="O208" s="64">
        <v>1098496.8</v>
      </c>
    </row>
    <row r="209" spans="1:15" ht="15.75" x14ac:dyDescent="0.25">
      <c r="A209" s="56">
        <v>6397.5</v>
      </c>
      <c r="C209" s="56">
        <v>31512.639999999999</v>
      </c>
      <c r="E209" s="56">
        <v>18788.23</v>
      </c>
      <c r="G209" s="65">
        <v>31512.639999999999</v>
      </c>
      <c r="J209" s="64">
        <v>71842</v>
      </c>
      <c r="M209" s="67" t="s">
        <v>107</v>
      </c>
      <c r="N209" s="67" t="s">
        <v>50</v>
      </c>
      <c r="O209" s="64">
        <v>71842</v>
      </c>
    </row>
    <row r="210" spans="1:15" ht="15.75" x14ac:dyDescent="0.25">
      <c r="A210" s="56">
        <v>233310</v>
      </c>
      <c r="C210" s="57"/>
      <c r="E210" s="56">
        <v>21024</v>
      </c>
      <c r="G210" s="64">
        <v>89491.9</v>
      </c>
      <c r="J210" s="64">
        <v>157185.20000000001</v>
      </c>
      <c r="M210" s="67" t="s">
        <v>107</v>
      </c>
      <c r="N210" s="67" t="s">
        <v>50</v>
      </c>
      <c r="O210" s="64">
        <v>157185.20000000001</v>
      </c>
    </row>
    <row r="211" spans="1:15" ht="15.75" x14ac:dyDescent="0.25">
      <c r="A211" s="56">
        <v>126952.5</v>
      </c>
      <c r="C211" s="56">
        <v>76220</v>
      </c>
      <c r="E211" s="56">
        <v>280408</v>
      </c>
      <c r="G211" s="65">
        <v>76220</v>
      </c>
      <c r="J211" s="64">
        <v>40186</v>
      </c>
      <c r="M211" s="67" t="s">
        <v>107</v>
      </c>
      <c r="N211" s="67" t="s">
        <v>50</v>
      </c>
      <c r="O211" s="64">
        <v>40186</v>
      </c>
    </row>
    <row r="212" spans="1:15" ht="15.75" x14ac:dyDescent="0.25">
      <c r="A212" s="56">
        <v>23587.200000000001</v>
      </c>
      <c r="C212" s="56">
        <v>43793.75</v>
      </c>
      <c r="E212" s="57"/>
      <c r="G212" s="65">
        <v>43793.75</v>
      </c>
      <c r="J212" s="64">
        <v>9999</v>
      </c>
      <c r="M212" s="67" t="s">
        <v>107</v>
      </c>
      <c r="N212" s="67" t="s">
        <v>50</v>
      </c>
      <c r="O212" s="64">
        <v>9999</v>
      </c>
    </row>
    <row r="213" spans="1:15" ht="15.75" x14ac:dyDescent="0.25">
      <c r="A213" s="56">
        <v>15936.75</v>
      </c>
      <c r="C213" s="56">
        <v>193572.4</v>
      </c>
      <c r="E213" s="56">
        <v>121345.4</v>
      </c>
      <c r="G213" s="65">
        <v>193572.4</v>
      </c>
      <c r="J213" s="64">
        <v>62651.16</v>
      </c>
      <c r="M213" s="67" t="s">
        <v>108</v>
      </c>
      <c r="N213" s="67" t="s">
        <v>50</v>
      </c>
      <c r="O213" s="64">
        <v>62651.16</v>
      </c>
    </row>
    <row r="214" spans="1:15" ht="15.75" x14ac:dyDescent="0.25">
      <c r="A214" s="56">
        <v>45213.919999999998</v>
      </c>
      <c r="C214" s="56">
        <v>309072.40000000002</v>
      </c>
      <c r="E214" s="56">
        <v>65760</v>
      </c>
      <c r="G214" s="65">
        <v>309072.40000000002</v>
      </c>
      <c r="J214" s="64">
        <v>213370.2</v>
      </c>
      <c r="M214" s="67" t="s">
        <v>108</v>
      </c>
      <c r="N214" s="67" t="s">
        <v>50</v>
      </c>
      <c r="O214" s="64">
        <v>213370.2</v>
      </c>
    </row>
    <row r="215" spans="1:15" ht="15.75" x14ac:dyDescent="0.25">
      <c r="A215" s="56">
        <v>112840</v>
      </c>
      <c r="C215" s="56">
        <v>3613.4</v>
      </c>
      <c r="E215" s="56">
        <v>55791.51</v>
      </c>
      <c r="G215" s="65">
        <v>3613.4</v>
      </c>
      <c r="J215" s="64">
        <v>120760</v>
      </c>
      <c r="M215" s="67" t="s">
        <v>109</v>
      </c>
      <c r="N215" s="67" t="s">
        <v>50</v>
      </c>
      <c r="O215" s="64">
        <v>120760</v>
      </c>
    </row>
    <row r="216" spans="1:15" ht="15.75" x14ac:dyDescent="0.25">
      <c r="A216" s="56">
        <v>12595.1</v>
      </c>
      <c r="C216" s="56">
        <v>7636.3</v>
      </c>
      <c r="E216" s="56">
        <v>24880</v>
      </c>
      <c r="G216" s="65">
        <v>7636.3</v>
      </c>
      <c r="J216" s="64">
        <v>177627.5</v>
      </c>
      <c r="M216" s="67" t="s">
        <v>109</v>
      </c>
      <c r="N216" s="67" t="s">
        <v>50</v>
      </c>
      <c r="O216" s="64">
        <v>177627.5</v>
      </c>
    </row>
    <row r="217" spans="1:15" ht="15.75" x14ac:dyDescent="0.25">
      <c r="A217" s="56">
        <v>67890</v>
      </c>
      <c r="C217" s="56">
        <v>66392.2</v>
      </c>
      <c r="E217" s="56">
        <v>81508.5</v>
      </c>
      <c r="G217" s="65">
        <v>66392.2</v>
      </c>
      <c r="J217" s="64">
        <v>172593</v>
      </c>
      <c r="M217" s="67" t="s">
        <v>110</v>
      </c>
      <c r="N217" s="67" t="s">
        <v>50</v>
      </c>
      <c r="O217" s="64">
        <v>172593</v>
      </c>
    </row>
    <row r="218" spans="1:15" ht="15.75" x14ac:dyDescent="0.25">
      <c r="A218" s="56">
        <v>284452.5</v>
      </c>
      <c r="C218" s="56">
        <v>12628.7</v>
      </c>
      <c r="E218" s="56">
        <v>2537.4</v>
      </c>
      <c r="G218" s="65">
        <v>12628.7</v>
      </c>
      <c r="J218" s="64">
        <v>8237.6</v>
      </c>
      <c r="M218" s="67" t="s">
        <v>111</v>
      </c>
      <c r="N218" s="67" t="s">
        <v>50</v>
      </c>
      <c r="O218" s="64">
        <v>8237.6</v>
      </c>
    </row>
    <row r="219" spans="1:15" ht="15.75" x14ac:dyDescent="0.25">
      <c r="A219" s="56">
        <v>16755.2</v>
      </c>
      <c r="C219" s="56">
        <v>9075.6</v>
      </c>
      <c r="E219" s="56">
        <v>57790.5</v>
      </c>
      <c r="G219" s="65">
        <v>9075.6</v>
      </c>
      <c r="J219" s="64">
        <v>37899.800000000003</v>
      </c>
      <c r="M219" s="67" t="s">
        <v>111</v>
      </c>
      <c r="N219" s="67" t="s">
        <v>50</v>
      </c>
      <c r="O219" s="64">
        <v>37899.800000000003</v>
      </c>
    </row>
    <row r="220" spans="1:15" ht="15.75" x14ac:dyDescent="0.25">
      <c r="A220" s="56">
        <v>4927.2</v>
      </c>
      <c r="C220" s="57"/>
      <c r="E220" s="56">
        <v>9854.4</v>
      </c>
      <c r="G220" s="64">
        <v>38114.300000000003</v>
      </c>
      <c r="J220" s="64">
        <v>6256</v>
      </c>
      <c r="M220" s="67" t="s">
        <v>111</v>
      </c>
      <c r="N220" s="67" t="s">
        <v>50</v>
      </c>
      <c r="O220" s="64">
        <v>6256</v>
      </c>
    </row>
    <row r="221" spans="1:15" ht="15.75" x14ac:dyDescent="0.25">
      <c r="A221" s="56">
        <v>28119</v>
      </c>
      <c r="C221" s="57"/>
      <c r="E221" s="56">
        <v>88908.6</v>
      </c>
      <c r="G221" s="64">
        <v>776674.75</v>
      </c>
      <c r="J221" s="64">
        <v>126461.3</v>
      </c>
      <c r="M221" s="67" t="s">
        <v>112</v>
      </c>
      <c r="N221" s="67" t="s">
        <v>50</v>
      </c>
      <c r="O221" s="64">
        <v>126461.3</v>
      </c>
    </row>
    <row r="222" spans="1:15" ht="15.75" x14ac:dyDescent="0.25">
      <c r="A222" s="56">
        <v>107361</v>
      </c>
      <c r="C222" s="56">
        <v>2343.6</v>
      </c>
      <c r="E222" s="56">
        <v>7014.4</v>
      </c>
      <c r="G222" s="65">
        <v>2343.6</v>
      </c>
      <c r="J222" s="64">
        <v>710669.76</v>
      </c>
      <c r="M222" s="67" t="s">
        <v>112</v>
      </c>
      <c r="N222" s="67" t="s">
        <v>11</v>
      </c>
      <c r="O222" s="64">
        <v>710669.76</v>
      </c>
    </row>
    <row r="223" spans="1:15" ht="15.75" x14ac:dyDescent="0.25">
      <c r="A223" s="56">
        <v>269350.5</v>
      </c>
      <c r="C223" s="58"/>
      <c r="E223" s="56">
        <v>63409.599999999999</v>
      </c>
      <c r="G223" s="58"/>
      <c r="J223" s="64">
        <v>28458</v>
      </c>
      <c r="M223" s="67" t="s">
        <v>112</v>
      </c>
      <c r="N223" s="67" t="s">
        <v>50</v>
      </c>
      <c r="O223" s="64">
        <v>28458</v>
      </c>
    </row>
    <row r="224" spans="1:15" ht="15.75" x14ac:dyDescent="0.25">
      <c r="A224" s="56">
        <v>28185</v>
      </c>
      <c r="C224" s="57"/>
      <c r="E224" s="56">
        <v>482586</v>
      </c>
      <c r="G224" s="64">
        <v>535186.4</v>
      </c>
      <c r="J224" s="64">
        <v>387990.75</v>
      </c>
      <c r="M224" s="67" t="s">
        <v>113</v>
      </c>
      <c r="N224" s="67" t="s">
        <v>50</v>
      </c>
      <c r="O224" s="64">
        <v>387990.75</v>
      </c>
    </row>
    <row r="225" spans="1:15" ht="15.75" x14ac:dyDescent="0.25">
      <c r="A225" s="56">
        <v>66783.48</v>
      </c>
      <c r="C225" s="57"/>
      <c r="E225" s="56">
        <v>70007.399999999994</v>
      </c>
      <c r="G225" s="64">
        <v>232941.8</v>
      </c>
      <c r="J225" s="64">
        <v>49737</v>
      </c>
      <c r="M225" s="67" t="s">
        <v>113</v>
      </c>
      <c r="N225" s="67" t="s">
        <v>50</v>
      </c>
      <c r="O225" s="64">
        <v>49737</v>
      </c>
    </row>
    <row r="226" spans="1:15" ht="15.75" x14ac:dyDescent="0.25">
      <c r="A226" s="56">
        <v>43499</v>
      </c>
      <c r="C226" s="57"/>
      <c r="E226" s="56">
        <v>17692.8</v>
      </c>
      <c r="G226" s="64">
        <v>254086</v>
      </c>
      <c r="J226" s="64">
        <v>197487.2</v>
      </c>
      <c r="M226" s="67" t="s">
        <v>113</v>
      </c>
      <c r="N226" s="67" t="s">
        <v>50</v>
      </c>
      <c r="O226" s="64">
        <v>197487.2</v>
      </c>
    </row>
    <row r="227" spans="1:15" ht="15.75" x14ac:dyDescent="0.25">
      <c r="A227" s="56">
        <v>8162.4</v>
      </c>
      <c r="C227" s="58"/>
      <c r="E227" s="56">
        <v>13269</v>
      </c>
      <c r="G227" s="58"/>
      <c r="J227" s="64">
        <v>197487.2</v>
      </c>
      <c r="M227" s="67" t="s">
        <v>113</v>
      </c>
      <c r="N227" s="67" t="s">
        <v>50</v>
      </c>
      <c r="O227" s="64">
        <v>197487.2</v>
      </c>
    </row>
    <row r="228" spans="1:15" ht="15.75" x14ac:dyDescent="0.25">
      <c r="A228" s="56">
        <v>18937.599999999999</v>
      </c>
      <c r="C228" s="57"/>
      <c r="E228" s="56">
        <v>39483</v>
      </c>
      <c r="G228" s="64">
        <v>60380.1</v>
      </c>
      <c r="J228" s="64">
        <v>228375.75</v>
      </c>
      <c r="M228" s="67" t="s">
        <v>113</v>
      </c>
      <c r="N228" s="67" t="s">
        <v>50</v>
      </c>
      <c r="O228" s="64">
        <v>228375.75</v>
      </c>
    </row>
    <row r="229" spans="1:15" ht="15.75" x14ac:dyDescent="0.25">
      <c r="A229" s="58"/>
      <c r="C229" s="58"/>
      <c r="E229" s="56">
        <v>38175</v>
      </c>
      <c r="G229" s="58"/>
      <c r="J229" s="64">
        <v>86258</v>
      </c>
      <c r="M229" s="67" t="s">
        <v>113</v>
      </c>
      <c r="N229" s="67" t="s">
        <v>50</v>
      </c>
      <c r="O229" s="64">
        <v>86258</v>
      </c>
    </row>
    <row r="230" spans="1:15" ht="15.75" x14ac:dyDescent="0.25">
      <c r="A230" s="58"/>
      <c r="C230" s="58"/>
      <c r="E230" s="56">
        <v>20128.78</v>
      </c>
      <c r="G230" s="58"/>
      <c r="J230" s="64">
        <v>180337.5</v>
      </c>
      <c r="M230" s="67" t="s">
        <v>113</v>
      </c>
      <c r="N230" s="67" t="s">
        <v>11</v>
      </c>
      <c r="O230" s="64">
        <v>180337.5</v>
      </c>
    </row>
    <row r="231" spans="1:15" ht="15.75" x14ac:dyDescent="0.25">
      <c r="A231" s="56">
        <v>6237</v>
      </c>
      <c r="C231" s="56">
        <v>95411.22</v>
      </c>
      <c r="E231" s="56">
        <v>500049.6</v>
      </c>
      <c r="G231" s="65">
        <v>95411.22</v>
      </c>
      <c r="J231" s="64">
        <v>425914</v>
      </c>
      <c r="M231" s="67" t="s">
        <v>113</v>
      </c>
      <c r="N231" s="67" t="s">
        <v>50</v>
      </c>
      <c r="O231" s="64">
        <v>425914</v>
      </c>
    </row>
    <row r="232" spans="1:15" ht="15.75" x14ac:dyDescent="0.25">
      <c r="A232" s="56">
        <v>25952</v>
      </c>
      <c r="C232" s="56">
        <v>3432.8</v>
      </c>
      <c r="E232" s="56">
        <v>32770.400000000001</v>
      </c>
      <c r="G232" s="65">
        <v>3432.8</v>
      </c>
      <c r="J232" s="64">
        <v>22158.5</v>
      </c>
      <c r="M232" s="67" t="s">
        <v>114</v>
      </c>
      <c r="N232" s="67" t="s">
        <v>11</v>
      </c>
      <c r="O232" s="64">
        <v>22158.5</v>
      </c>
    </row>
    <row r="233" spans="1:15" ht="15.75" x14ac:dyDescent="0.25">
      <c r="A233" s="58"/>
      <c r="C233" s="58"/>
      <c r="E233" s="56">
        <v>122386.5</v>
      </c>
      <c r="G233" s="58"/>
      <c r="J233" s="64">
        <v>15545.6</v>
      </c>
      <c r="M233" s="67" t="s">
        <v>114</v>
      </c>
      <c r="N233" s="67" t="s">
        <v>50</v>
      </c>
      <c r="O233" s="64">
        <v>15545.6</v>
      </c>
    </row>
    <row r="234" spans="1:15" ht="15.75" x14ac:dyDescent="0.25">
      <c r="A234" s="56">
        <v>243566.3</v>
      </c>
      <c r="C234" s="56">
        <v>30136.5</v>
      </c>
      <c r="E234" s="56">
        <v>32756.2</v>
      </c>
      <c r="G234" s="65">
        <v>30136.5</v>
      </c>
      <c r="J234" s="64">
        <v>97324.2</v>
      </c>
      <c r="M234" s="67" t="s">
        <v>114</v>
      </c>
      <c r="N234" s="67" t="s">
        <v>50</v>
      </c>
      <c r="O234" s="64">
        <v>97324.2</v>
      </c>
    </row>
    <row r="235" spans="1:15" ht="15.75" x14ac:dyDescent="0.25">
      <c r="A235" s="56">
        <v>5543.1</v>
      </c>
      <c r="C235" s="57"/>
      <c r="E235" s="56">
        <v>35798.1</v>
      </c>
      <c r="G235" s="64">
        <v>457435.2</v>
      </c>
      <c r="J235" s="64">
        <v>13676</v>
      </c>
      <c r="M235" s="67" t="s">
        <v>114</v>
      </c>
      <c r="N235" s="67" t="s">
        <v>50</v>
      </c>
      <c r="O235" s="64">
        <v>13676</v>
      </c>
    </row>
    <row r="236" spans="1:15" ht="15.75" x14ac:dyDescent="0.25">
      <c r="A236" s="56">
        <v>15487.01</v>
      </c>
      <c r="C236" s="58"/>
      <c r="E236" s="57"/>
      <c r="G236" s="58"/>
      <c r="J236" s="64">
        <v>134730.95000000001</v>
      </c>
      <c r="M236" s="67" t="s">
        <v>114</v>
      </c>
      <c r="N236" s="67" t="s">
        <v>50</v>
      </c>
      <c r="O236" s="64">
        <v>134730.95000000001</v>
      </c>
    </row>
    <row r="237" spans="1:15" ht="15.75" x14ac:dyDescent="0.25">
      <c r="A237" s="56">
        <v>17737.5</v>
      </c>
      <c r="C237" s="56">
        <v>1238934</v>
      </c>
      <c r="E237" s="56">
        <v>94455.75</v>
      </c>
      <c r="G237" s="65">
        <v>3163795</v>
      </c>
      <c r="J237" s="64">
        <v>599886</v>
      </c>
      <c r="M237" s="67" t="s">
        <v>115</v>
      </c>
      <c r="N237" s="67" t="s">
        <v>50</v>
      </c>
      <c r="O237" s="64">
        <v>599886</v>
      </c>
    </row>
    <row r="238" spans="1:15" ht="15.75" x14ac:dyDescent="0.25">
      <c r="A238" s="56">
        <v>482235</v>
      </c>
      <c r="C238" s="56">
        <v>5076.75</v>
      </c>
      <c r="E238" s="56">
        <v>1118416</v>
      </c>
      <c r="G238" s="65">
        <v>5076.75</v>
      </c>
      <c r="J238" s="64">
        <v>140107.20000000001</v>
      </c>
      <c r="M238" s="67" t="s">
        <v>115</v>
      </c>
      <c r="N238" s="67" t="s">
        <v>50</v>
      </c>
      <c r="O238" s="64">
        <v>140107.20000000001</v>
      </c>
    </row>
    <row r="239" spans="1:15" ht="15.75" x14ac:dyDescent="0.25">
      <c r="A239" s="56">
        <v>72980.800000000003</v>
      </c>
      <c r="C239" s="56">
        <v>149956.72</v>
      </c>
      <c r="E239" s="56">
        <v>63549</v>
      </c>
      <c r="G239" s="65">
        <v>149956.72</v>
      </c>
      <c r="J239" s="64">
        <v>1665375</v>
      </c>
      <c r="M239" s="67" t="s">
        <v>116</v>
      </c>
      <c r="N239" s="67" t="s">
        <v>50</v>
      </c>
      <c r="O239" s="64">
        <v>1665375</v>
      </c>
    </row>
    <row r="240" spans="1:15" ht="15.75" x14ac:dyDescent="0.25">
      <c r="A240" s="58"/>
      <c r="C240" s="57"/>
      <c r="E240" s="56">
        <v>14871</v>
      </c>
      <c r="G240" s="64">
        <v>608241.68000000005</v>
      </c>
      <c r="J240" s="64">
        <v>5473217.0999999996</v>
      </c>
      <c r="M240" s="67" t="s">
        <v>116</v>
      </c>
      <c r="N240" s="67" t="s">
        <v>50</v>
      </c>
      <c r="O240" s="64">
        <v>5473217.0999999996</v>
      </c>
    </row>
    <row r="241" spans="1:15" ht="15.75" x14ac:dyDescent="0.25">
      <c r="A241" s="58"/>
      <c r="C241" s="57"/>
      <c r="E241" s="56">
        <v>83278.52</v>
      </c>
      <c r="G241" s="64">
        <v>7138.6</v>
      </c>
      <c r="J241" s="64">
        <v>21972</v>
      </c>
      <c r="M241" s="67" t="s">
        <v>116</v>
      </c>
      <c r="N241" s="67" t="s">
        <v>50</v>
      </c>
      <c r="O241" s="64">
        <v>21972</v>
      </c>
    </row>
    <row r="242" spans="1:15" ht="15.75" x14ac:dyDescent="0.25">
      <c r="A242" s="56">
        <v>97065.04</v>
      </c>
      <c r="C242" s="57"/>
      <c r="E242" s="56">
        <v>28384</v>
      </c>
      <c r="G242" s="64">
        <v>9709</v>
      </c>
      <c r="J242" s="64">
        <v>39548</v>
      </c>
      <c r="M242" s="67" t="s">
        <v>116</v>
      </c>
      <c r="N242" s="67" t="s">
        <v>50</v>
      </c>
      <c r="O242" s="64">
        <v>39548</v>
      </c>
    </row>
    <row r="243" spans="1:15" ht="15.75" x14ac:dyDescent="0.25">
      <c r="A243" s="56">
        <v>94846.5</v>
      </c>
      <c r="C243" s="56">
        <v>7743</v>
      </c>
      <c r="E243" s="56">
        <v>11763</v>
      </c>
      <c r="G243" s="65">
        <v>7743</v>
      </c>
      <c r="J243" s="64">
        <v>899735.74</v>
      </c>
      <c r="M243" s="67" t="s">
        <v>117</v>
      </c>
      <c r="N243" s="67" t="s">
        <v>50</v>
      </c>
      <c r="O243" s="64">
        <v>899735.74</v>
      </c>
    </row>
    <row r="244" spans="1:15" ht="15.75" x14ac:dyDescent="0.25">
      <c r="A244" s="56">
        <v>29970</v>
      </c>
      <c r="C244" s="57"/>
      <c r="E244" s="56">
        <v>5248.6</v>
      </c>
      <c r="G244" s="64">
        <v>80229</v>
      </c>
      <c r="J244" s="64">
        <v>72571.8</v>
      </c>
      <c r="M244" s="67" t="s">
        <v>117</v>
      </c>
      <c r="N244" s="67" t="s">
        <v>50</v>
      </c>
      <c r="O244" s="64">
        <v>72571.8</v>
      </c>
    </row>
    <row r="245" spans="1:15" ht="15.75" x14ac:dyDescent="0.25">
      <c r="A245" s="56">
        <v>27846</v>
      </c>
      <c r="C245" s="56">
        <v>120400.65</v>
      </c>
      <c r="E245" s="56">
        <v>94509.75</v>
      </c>
      <c r="G245" s="65">
        <v>120400.65</v>
      </c>
      <c r="J245" s="64">
        <v>309963.40000000002</v>
      </c>
      <c r="M245" s="67" t="s">
        <v>117</v>
      </c>
      <c r="N245" s="67" t="s">
        <v>50</v>
      </c>
      <c r="O245" s="64">
        <v>309963.40000000002</v>
      </c>
    </row>
    <row r="246" spans="1:15" ht="15.75" x14ac:dyDescent="0.25">
      <c r="A246" s="56">
        <v>13330.8</v>
      </c>
      <c r="C246" s="56">
        <v>2436.7199999999998</v>
      </c>
      <c r="E246" s="56">
        <v>97477.5</v>
      </c>
      <c r="G246" s="65">
        <v>2436.7199999999998</v>
      </c>
      <c r="J246" s="64">
        <v>79072.2</v>
      </c>
      <c r="M246" s="67" t="s">
        <v>117</v>
      </c>
      <c r="N246" s="67" t="s">
        <v>50</v>
      </c>
      <c r="O246" s="64">
        <v>79072.2</v>
      </c>
    </row>
    <row r="247" spans="1:15" ht="15.75" x14ac:dyDescent="0.25">
      <c r="A247" s="56">
        <v>59840.12</v>
      </c>
      <c r="C247" s="57"/>
      <c r="E247" s="57"/>
      <c r="G247" s="64">
        <v>16216.5</v>
      </c>
      <c r="J247" s="64">
        <v>75591</v>
      </c>
      <c r="M247" s="67" t="s">
        <v>117</v>
      </c>
      <c r="N247" s="67" t="s">
        <v>50</v>
      </c>
      <c r="O247" s="64">
        <v>75591</v>
      </c>
    </row>
    <row r="248" spans="1:15" ht="15.75" x14ac:dyDescent="0.25">
      <c r="A248" s="56">
        <v>45630.34</v>
      </c>
      <c r="C248" s="57"/>
      <c r="E248" s="57"/>
      <c r="G248" s="64">
        <v>6497068.5</v>
      </c>
      <c r="J248" s="64">
        <v>98614.399999999994</v>
      </c>
      <c r="M248" s="67" t="s">
        <v>117</v>
      </c>
      <c r="N248" s="67" t="s">
        <v>50</v>
      </c>
      <c r="O248" s="64">
        <v>98614.399999999994</v>
      </c>
    </row>
    <row r="249" spans="1:15" ht="15.75" x14ac:dyDescent="0.25">
      <c r="A249" s="58"/>
      <c r="C249" s="56">
        <v>51525</v>
      </c>
      <c r="E249" s="57"/>
      <c r="G249" s="65">
        <v>51525</v>
      </c>
      <c r="J249" s="64">
        <v>22100.85</v>
      </c>
      <c r="M249" s="67" t="s">
        <v>118</v>
      </c>
      <c r="N249" s="67" t="s">
        <v>50</v>
      </c>
      <c r="O249" s="64">
        <v>22100.85</v>
      </c>
    </row>
    <row r="250" spans="1:15" ht="15.75" x14ac:dyDescent="0.25">
      <c r="A250" s="56">
        <v>57742.5</v>
      </c>
      <c r="C250" s="56">
        <v>95126.5</v>
      </c>
      <c r="E250" s="56">
        <v>230160</v>
      </c>
      <c r="G250" s="65">
        <v>95126.5</v>
      </c>
      <c r="J250" s="64">
        <v>911124.8</v>
      </c>
      <c r="M250" s="67" t="s">
        <v>118</v>
      </c>
      <c r="N250" s="67" t="s">
        <v>50</v>
      </c>
      <c r="O250" s="64">
        <v>911124.8</v>
      </c>
    </row>
    <row r="251" spans="1:15" ht="15.75" x14ac:dyDescent="0.25">
      <c r="A251" s="56">
        <v>7196.4</v>
      </c>
      <c r="C251" s="56">
        <v>184349.2</v>
      </c>
      <c r="E251" s="56">
        <v>68301.75</v>
      </c>
      <c r="G251" s="65">
        <v>184349.2</v>
      </c>
      <c r="J251" s="64">
        <v>377384.7</v>
      </c>
      <c r="M251" s="67" t="s">
        <v>118</v>
      </c>
      <c r="N251" s="67" t="s">
        <v>50</v>
      </c>
      <c r="O251" s="64">
        <v>377384.7</v>
      </c>
    </row>
    <row r="252" spans="1:15" ht="15.75" x14ac:dyDescent="0.25">
      <c r="A252" s="58"/>
      <c r="C252" s="56">
        <v>15244.6</v>
      </c>
      <c r="E252" s="56">
        <v>14788.5</v>
      </c>
      <c r="G252" s="65">
        <v>15244.6</v>
      </c>
      <c r="J252" s="64">
        <v>4155419</v>
      </c>
      <c r="M252" s="67" t="s">
        <v>119</v>
      </c>
      <c r="N252" s="67" t="s">
        <v>50</v>
      </c>
      <c r="O252" s="64">
        <v>4155419</v>
      </c>
    </row>
    <row r="253" spans="1:15" ht="15.75" x14ac:dyDescent="0.25">
      <c r="A253" s="56">
        <v>1119375.92</v>
      </c>
      <c r="C253" s="57"/>
      <c r="E253" s="56">
        <v>17091.45</v>
      </c>
      <c r="G253" s="64">
        <v>34659.199999999997</v>
      </c>
      <c r="J253" s="64">
        <v>2007462</v>
      </c>
      <c r="M253" s="67" t="s">
        <v>119</v>
      </c>
      <c r="N253" s="67" t="s">
        <v>50</v>
      </c>
      <c r="O253" s="64">
        <v>2007462</v>
      </c>
    </row>
    <row r="254" spans="1:15" ht="15.75" x14ac:dyDescent="0.25">
      <c r="A254" s="58"/>
      <c r="C254" s="56">
        <v>2488.1999999999998</v>
      </c>
      <c r="E254" s="56">
        <v>3537.8</v>
      </c>
      <c r="G254" s="65">
        <v>2488.1999999999998</v>
      </c>
      <c r="J254" s="64">
        <v>251341.42</v>
      </c>
      <c r="M254" s="67" t="s">
        <v>119</v>
      </c>
      <c r="N254" s="67" t="s">
        <v>50</v>
      </c>
      <c r="O254" s="64">
        <v>251341.42</v>
      </c>
    </row>
    <row r="255" spans="1:15" ht="15.75" x14ac:dyDescent="0.25">
      <c r="A255" s="56">
        <v>109091.16</v>
      </c>
      <c r="C255" s="56">
        <v>115061.4</v>
      </c>
      <c r="E255" s="56">
        <v>7612.2</v>
      </c>
      <c r="G255" s="65">
        <v>115061.4</v>
      </c>
      <c r="J255" s="64">
        <v>430767.9</v>
      </c>
      <c r="M255" s="67" t="s">
        <v>120</v>
      </c>
      <c r="N255" s="67" t="s">
        <v>50</v>
      </c>
      <c r="O255" s="64">
        <v>430767.9</v>
      </c>
    </row>
    <row r="256" spans="1:15" ht="15.75" x14ac:dyDescent="0.25">
      <c r="A256" s="56">
        <v>55429.08</v>
      </c>
      <c r="C256" s="56">
        <v>7743</v>
      </c>
      <c r="E256" s="56">
        <v>147504.34</v>
      </c>
      <c r="G256" s="65">
        <v>7743</v>
      </c>
      <c r="J256" s="64">
        <v>524618.5</v>
      </c>
      <c r="M256" s="67" t="s">
        <v>120</v>
      </c>
      <c r="N256" s="67" t="s">
        <v>50</v>
      </c>
      <c r="O256" s="64">
        <v>524618.5</v>
      </c>
    </row>
    <row r="257" spans="1:15" ht="15.75" x14ac:dyDescent="0.25">
      <c r="A257" s="56">
        <v>7736.96</v>
      </c>
      <c r="C257" s="57"/>
      <c r="E257" s="56">
        <v>496593.75</v>
      </c>
      <c r="G257" s="64">
        <v>39765.68</v>
      </c>
      <c r="J257" s="64">
        <v>51612.2</v>
      </c>
      <c r="M257" s="67" t="s">
        <v>120</v>
      </c>
      <c r="N257" s="67" t="s">
        <v>50</v>
      </c>
      <c r="O257" s="64">
        <v>51612.2</v>
      </c>
    </row>
    <row r="258" spans="1:15" ht="15.75" x14ac:dyDescent="0.25">
      <c r="A258" s="56">
        <v>6189.3</v>
      </c>
      <c r="C258" s="57"/>
      <c r="E258" s="56">
        <v>241531.2</v>
      </c>
      <c r="G258" s="64">
        <v>11033.3</v>
      </c>
      <c r="J258" s="64">
        <v>12927</v>
      </c>
      <c r="M258" s="67" t="s">
        <v>120</v>
      </c>
      <c r="N258" s="67" t="s">
        <v>11</v>
      </c>
      <c r="O258" s="64">
        <v>12927</v>
      </c>
    </row>
    <row r="259" spans="1:15" ht="15.75" x14ac:dyDescent="0.25">
      <c r="A259" s="56">
        <v>14146.64</v>
      </c>
      <c r="C259" s="56">
        <v>23877</v>
      </c>
      <c r="E259" s="56">
        <v>2104974</v>
      </c>
      <c r="G259" s="65">
        <v>23877</v>
      </c>
      <c r="J259" s="64">
        <v>32364</v>
      </c>
      <c r="M259" s="67" t="s">
        <v>120</v>
      </c>
      <c r="N259" s="67" t="s">
        <v>50</v>
      </c>
      <c r="O259" s="64">
        <v>32364</v>
      </c>
    </row>
    <row r="260" spans="1:15" ht="15.75" x14ac:dyDescent="0.25">
      <c r="A260" s="56">
        <v>38248.720000000001</v>
      </c>
      <c r="C260" s="58"/>
      <c r="E260" s="56">
        <v>18664.84</v>
      </c>
      <c r="G260" s="58"/>
      <c r="J260" s="64">
        <v>22847</v>
      </c>
      <c r="M260" s="67" t="s">
        <v>120</v>
      </c>
      <c r="N260" s="67" t="s">
        <v>50</v>
      </c>
      <c r="O260" s="64">
        <v>22847</v>
      </c>
    </row>
    <row r="261" spans="1:15" ht="15.75" x14ac:dyDescent="0.25">
      <c r="A261" s="56">
        <v>1471465.8</v>
      </c>
      <c r="C261" s="56">
        <v>256921</v>
      </c>
      <c r="E261" s="56">
        <v>22186.799999999999</v>
      </c>
      <c r="G261" s="65">
        <v>256921</v>
      </c>
      <c r="J261" s="64">
        <v>85716</v>
      </c>
      <c r="M261" s="67" t="s">
        <v>121</v>
      </c>
      <c r="N261" s="67" t="s">
        <v>50</v>
      </c>
      <c r="O261" s="64">
        <v>85716</v>
      </c>
    </row>
    <row r="262" spans="1:15" ht="15.75" x14ac:dyDescent="0.25">
      <c r="A262" s="58"/>
      <c r="C262" s="57"/>
      <c r="E262" s="56">
        <v>22867.200000000001</v>
      </c>
      <c r="G262" s="64">
        <v>5101.5</v>
      </c>
      <c r="J262" s="64">
        <v>84009.4</v>
      </c>
      <c r="M262" s="67" t="s">
        <v>122</v>
      </c>
      <c r="N262" s="67" t="s">
        <v>50</v>
      </c>
      <c r="O262" s="64">
        <v>84009.4</v>
      </c>
    </row>
    <row r="263" spans="1:15" ht="15.75" x14ac:dyDescent="0.25">
      <c r="A263" s="58"/>
      <c r="C263" s="57"/>
      <c r="E263" s="56">
        <v>2536.8000000000002</v>
      </c>
      <c r="G263" s="64">
        <v>43756.5</v>
      </c>
      <c r="J263" s="64">
        <v>20344</v>
      </c>
      <c r="M263" s="67" t="s">
        <v>122</v>
      </c>
      <c r="N263" s="67" t="s">
        <v>11</v>
      </c>
      <c r="O263" s="64">
        <v>20344</v>
      </c>
    </row>
    <row r="264" spans="1:15" ht="15.75" x14ac:dyDescent="0.25">
      <c r="A264" s="56">
        <v>24298.400000000001</v>
      </c>
      <c r="C264" s="57"/>
      <c r="E264" s="56">
        <v>7046.4</v>
      </c>
      <c r="G264" s="64">
        <v>50995</v>
      </c>
      <c r="J264" s="64">
        <v>111272.4</v>
      </c>
      <c r="M264" s="67" t="s">
        <v>122</v>
      </c>
      <c r="N264" s="67" t="s">
        <v>50</v>
      </c>
      <c r="O264" s="64">
        <v>111272.4</v>
      </c>
    </row>
    <row r="265" spans="1:15" ht="15.75" x14ac:dyDescent="0.25">
      <c r="A265" s="60"/>
      <c r="C265" s="57"/>
      <c r="E265" s="56">
        <v>302875.62</v>
      </c>
      <c r="G265" s="64">
        <v>17196.2</v>
      </c>
      <c r="J265" s="64">
        <v>413256.66</v>
      </c>
      <c r="M265" s="67" t="s">
        <v>123</v>
      </c>
      <c r="N265" s="67" t="s">
        <v>11</v>
      </c>
      <c r="O265" s="64">
        <v>413256.66</v>
      </c>
    </row>
    <row r="266" spans="1:15" ht="15.75" x14ac:dyDescent="0.25">
      <c r="A266" s="56">
        <v>16395</v>
      </c>
      <c r="C266" s="56">
        <v>66189.2</v>
      </c>
      <c r="E266" s="57"/>
      <c r="G266" s="65">
        <v>66189.2</v>
      </c>
      <c r="J266" s="64">
        <v>2095161.55</v>
      </c>
      <c r="M266" s="67" t="s">
        <v>123</v>
      </c>
      <c r="N266" s="67" t="s">
        <v>50</v>
      </c>
      <c r="O266" s="64">
        <v>2095161.55</v>
      </c>
    </row>
    <row r="267" spans="1:15" ht="15.75" x14ac:dyDescent="0.25">
      <c r="A267" s="56">
        <v>326875.25</v>
      </c>
      <c r="C267" s="58"/>
      <c r="E267" s="56">
        <v>111537</v>
      </c>
      <c r="G267" s="58"/>
      <c r="J267" s="64">
        <v>584437.5</v>
      </c>
      <c r="M267" s="67" t="s">
        <v>123</v>
      </c>
      <c r="N267" s="67" t="s">
        <v>50</v>
      </c>
      <c r="O267" s="64">
        <v>584437.5</v>
      </c>
    </row>
    <row r="268" spans="1:15" ht="15.75" x14ac:dyDescent="0.25">
      <c r="A268" s="58"/>
      <c r="C268" s="56">
        <v>10402.5</v>
      </c>
      <c r="E268" s="56">
        <v>29494.080000000002</v>
      </c>
      <c r="G268" s="65">
        <v>10402.5</v>
      </c>
      <c r="J268" s="64">
        <v>1185015</v>
      </c>
      <c r="M268" s="67" t="s">
        <v>123</v>
      </c>
      <c r="N268" s="67" t="s">
        <v>50</v>
      </c>
      <c r="O268" s="64">
        <v>1185015</v>
      </c>
    </row>
    <row r="269" spans="1:15" ht="15.75" x14ac:dyDescent="0.25">
      <c r="A269" s="56">
        <v>135120.9</v>
      </c>
      <c r="C269" s="58"/>
      <c r="E269" s="57"/>
      <c r="G269" s="58"/>
      <c r="J269" s="64">
        <v>163102</v>
      </c>
      <c r="M269" s="67" t="s">
        <v>124</v>
      </c>
      <c r="N269" s="67" t="s">
        <v>11</v>
      </c>
      <c r="O269" s="64">
        <v>163102</v>
      </c>
    </row>
    <row r="270" spans="1:15" ht="15.75" x14ac:dyDescent="0.25">
      <c r="A270" s="56">
        <v>72467.520000000004</v>
      </c>
      <c r="C270" s="56">
        <v>260613</v>
      </c>
      <c r="E270" s="56">
        <v>113279.6</v>
      </c>
      <c r="G270" s="65">
        <v>260613</v>
      </c>
      <c r="J270" s="64">
        <v>290056</v>
      </c>
      <c r="M270" s="67" t="s">
        <v>124</v>
      </c>
      <c r="N270" s="67" t="s">
        <v>50</v>
      </c>
      <c r="O270" s="64">
        <v>290056</v>
      </c>
    </row>
    <row r="271" spans="1:15" ht="15.75" x14ac:dyDescent="0.25">
      <c r="A271" s="56">
        <v>16115.8</v>
      </c>
      <c r="C271" s="57"/>
      <c r="E271" s="56">
        <v>1157037.68</v>
      </c>
      <c r="G271" s="64">
        <v>21789.200000000001</v>
      </c>
      <c r="J271" s="64">
        <v>254540.25</v>
      </c>
      <c r="M271" s="67" t="s">
        <v>124</v>
      </c>
      <c r="N271" s="67" t="s">
        <v>50</v>
      </c>
      <c r="O271" s="64">
        <v>254540.25</v>
      </c>
    </row>
    <row r="272" spans="1:15" ht="15.75" x14ac:dyDescent="0.25">
      <c r="A272" s="56">
        <v>130664</v>
      </c>
      <c r="C272" s="57"/>
      <c r="E272" s="56">
        <v>721957.08</v>
      </c>
      <c r="G272" s="64">
        <v>25665.200000000001</v>
      </c>
      <c r="J272" s="64">
        <v>9579.7999999999993</v>
      </c>
      <c r="M272" s="67" t="s">
        <v>124</v>
      </c>
      <c r="N272" s="67" t="s">
        <v>11</v>
      </c>
      <c r="O272" s="64">
        <v>9579.7999999999993</v>
      </c>
    </row>
    <row r="273" spans="1:15" ht="15.75" x14ac:dyDescent="0.25">
      <c r="A273" s="56">
        <v>51092.52</v>
      </c>
      <c r="C273" s="57"/>
      <c r="E273" s="56">
        <v>156551.25</v>
      </c>
      <c r="G273" s="64">
        <v>17314.5</v>
      </c>
      <c r="J273" s="64">
        <v>52755</v>
      </c>
      <c r="M273" s="67" t="s">
        <v>124</v>
      </c>
      <c r="N273" s="67" t="s">
        <v>50</v>
      </c>
      <c r="O273" s="64">
        <v>52755</v>
      </c>
    </row>
    <row r="274" spans="1:15" ht="15.75" x14ac:dyDescent="0.25">
      <c r="A274" s="56">
        <v>23909.599999999999</v>
      </c>
      <c r="C274" s="56">
        <v>181906</v>
      </c>
      <c r="E274" s="56">
        <v>308694.5</v>
      </c>
      <c r="G274" s="65">
        <v>181906</v>
      </c>
      <c r="J274" s="64">
        <v>115062</v>
      </c>
      <c r="M274" s="67" t="s">
        <v>125</v>
      </c>
      <c r="N274" s="67" t="s">
        <v>11</v>
      </c>
      <c r="O274" s="64">
        <v>115062</v>
      </c>
    </row>
    <row r="275" spans="1:15" ht="15.75" x14ac:dyDescent="0.25">
      <c r="A275" s="56">
        <v>3441.28</v>
      </c>
      <c r="C275" s="57"/>
      <c r="E275" s="56">
        <v>234818.4</v>
      </c>
      <c r="G275" s="64">
        <v>21825.3</v>
      </c>
      <c r="J275" s="64">
        <v>22382</v>
      </c>
      <c r="M275" s="67" t="s">
        <v>125</v>
      </c>
      <c r="N275" s="67" t="s">
        <v>11</v>
      </c>
      <c r="O275" s="64">
        <v>22382</v>
      </c>
    </row>
    <row r="276" spans="1:15" ht="15.75" x14ac:dyDescent="0.25">
      <c r="A276" s="56">
        <v>44259.360000000001</v>
      </c>
      <c r="C276" s="56">
        <v>3579.82</v>
      </c>
      <c r="E276" s="56">
        <v>6237.6</v>
      </c>
      <c r="G276" s="65">
        <v>3579.82</v>
      </c>
      <c r="J276" s="64">
        <v>1031702.25</v>
      </c>
      <c r="M276" s="67" t="s">
        <v>126</v>
      </c>
      <c r="N276" s="67" t="s">
        <v>11</v>
      </c>
      <c r="O276" s="64">
        <v>1031702.25</v>
      </c>
    </row>
    <row r="277" spans="1:15" ht="15.75" x14ac:dyDescent="0.25">
      <c r="A277" s="56">
        <v>630027.75</v>
      </c>
      <c r="C277" s="56">
        <v>173456.55</v>
      </c>
      <c r="E277" s="56">
        <v>30706.85</v>
      </c>
      <c r="G277" s="65">
        <v>173456.55</v>
      </c>
      <c r="J277" s="64">
        <v>79833.600000000006</v>
      </c>
      <c r="M277" s="67" t="s">
        <v>126</v>
      </c>
      <c r="N277" s="67" t="s">
        <v>50</v>
      </c>
      <c r="O277" s="64">
        <v>79833.600000000006</v>
      </c>
    </row>
    <row r="278" spans="1:15" ht="15.75" x14ac:dyDescent="0.25">
      <c r="A278" s="56">
        <v>15328.8</v>
      </c>
      <c r="C278" s="56">
        <v>48128.06</v>
      </c>
      <c r="E278" s="56">
        <v>45481.599999999999</v>
      </c>
      <c r="G278" s="65">
        <v>48128.06</v>
      </c>
      <c r="J278" s="64">
        <v>73263</v>
      </c>
      <c r="M278" s="67" t="s">
        <v>126</v>
      </c>
      <c r="N278" s="67" t="s">
        <v>11</v>
      </c>
      <c r="O278" s="64">
        <v>73263</v>
      </c>
    </row>
    <row r="279" spans="1:15" ht="15.75" x14ac:dyDescent="0.25">
      <c r="A279" s="56">
        <v>15137.68</v>
      </c>
      <c r="C279" s="56">
        <v>177977.1</v>
      </c>
      <c r="E279" s="56">
        <v>119227.2</v>
      </c>
      <c r="G279" s="65">
        <v>177977.1</v>
      </c>
      <c r="J279" s="64">
        <v>374989</v>
      </c>
      <c r="M279" s="67" t="s">
        <v>127</v>
      </c>
      <c r="N279" s="67" t="s">
        <v>11</v>
      </c>
      <c r="O279" s="64">
        <v>374989</v>
      </c>
    </row>
    <row r="280" spans="1:15" ht="15.75" x14ac:dyDescent="0.25">
      <c r="A280" s="56">
        <v>38604</v>
      </c>
      <c r="C280" s="58"/>
      <c r="E280" s="56">
        <v>86306.47</v>
      </c>
      <c r="G280" s="58"/>
      <c r="J280" s="64">
        <v>83419.199999999997</v>
      </c>
      <c r="M280" s="67" t="s">
        <v>127</v>
      </c>
      <c r="N280" s="67" t="s">
        <v>50</v>
      </c>
      <c r="O280" s="64">
        <v>83419.199999999997</v>
      </c>
    </row>
    <row r="281" spans="1:15" ht="15.75" x14ac:dyDescent="0.25">
      <c r="A281" s="56">
        <v>5218.2</v>
      </c>
      <c r="C281" s="56">
        <v>43611.040000000001</v>
      </c>
      <c r="E281" s="56">
        <v>2815656.6</v>
      </c>
      <c r="G281" s="65">
        <v>43611.040000000001</v>
      </c>
      <c r="J281" s="64">
        <v>10358</v>
      </c>
      <c r="M281" s="67" t="s">
        <v>128</v>
      </c>
      <c r="N281" s="67" t="s">
        <v>50</v>
      </c>
      <c r="O281" s="64">
        <v>10358</v>
      </c>
    </row>
    <row r="282" spans="1:15" ht="15.75" x14ac:dyDescent="0.25">
      <c r="A282" s="56">
        <v>1540.77</v>
      </c>
      <c r="C282" s="56">
        <v>42652.5</v>
      </c>
      <c r="E282" s="56">
        <v>73432.72</v>
      </c>
      <c r="G282" s="65">
        <v>42652.5</v>
      </c>
      <c r="J282" s="64">
        <v>53559</v>
      </c>
      <c r="M282" s="67" t="s">
        <v>128</v>
      </c>
      <c r="N282" s="67" t="s">
        <v>50</v>
      </c>
      <c r="O282" s="64">
        <v>53559</v>
      </c>
    </row>
    <row r="283" spans="1:15" ht="15.75" x14ac:dyDescent="0.25">
      <c r="A283" s="56">
        <v>7426.25</v>
      </c>
      <c r="C283" s="56">
        <v>185382.39999999999</v>
      </c>
      <c r="E283" s="56">
        <v>195623.25</v>
      </c>
      <c r="G283" s="65">
        <v>185382.39999999999</v>
      </c>
      <c r="J283" s="64">
        <v>57959.8</v>
      </c>
      <c r="M283" s="67" t="s">
        <v>129</v>
      </c>
      <c r="N283" s="67" t="s">
        <v>11</v>
      </c>
      <c r="O283" s="64">
        <v>57959.8</v>
      </c>
    </row>
    <row r="284" spans="1:15" ht="15.75" x14ac:dyDescent="0.25">
      <c r="A284" s="56">
        <v>271738</v>
      </c>
      <c r="C284" s="58"/>
      <c r="E284" s="56">
        <v>27651.200000000001</v>
      </c>
      <c r="G284" s="58"/>
      <c r="J284" s="64">
        <v>16519.5</v>
      </c>
      <c r="M284" s="67" t="s">
        <v>129</v>
      </c>
      <c r="N284" s="67" t="s">
        <v>50</v>
      </c>
      <c r="O284" s="64">
        <v>16519.5</v>
      </c>
    </row>
    <row r="285" spans="1:15" ht="15.75" x14ac:dyDescent="0.25">
      <c r="A285" s="56">
        <v>4082.72</v>
      </c>
      <c r="C285" s="57"/>
      <c r="E285" s="56">
        <v>40361</v>
      </c>
      <c r="G285" s="64">
        <v>180374.6</v>
      </c>
      <c r="J285" s="64">
        <v>5431862</v>
      </c>
      <c r="M285" s="67" t="s">
        <v>129</v>
      </c>
      <c r="N285" s="67" t="s">
        <v>50</v>
      </c>
      <c r="O285" s="64">
        <v>5431862</v>
      </c>
    </row>
    <row r="286" spans="1:15" ht="15.75" x14ac:dyDescent="0.25">
      <c r="A286" s="56">
        <v>8746.4</v>
      </c>
      <c r="C286" s="56">
        <v>21780</v>
      </c>
      <c r="E286" s="56">
        <v>53831.25</v>
      </c>
      <c r="G286" s="65">
        <v>21780</v>
      </c>
      <c r="J286" s="64">
        <v>92370.4</v>
      </c>
      <c r="M286" s="67" t="s">
        <v>130</v>
      </c>
      <c r="N286" s="67" t="s">
        <v>11</v>
      </c>
      <c r="O286" s="64">
        <v>92370.4</v>
      </c>
    </row>
    <row r="287" spans="1:15" ht="15.75" x14ac:dyDescent="0.25">
      <c r="A287" s="56">
        <v>38027.199999999997</v>
      </c>
      <c r="C287" s="56">
        <v>157744.25</v>
      </c>
      <c r="E287" s="57"/>
      <c r="G287" s="65">
        <v>157744.25</v>
      </c>
      <c r="J287" s="64">
        <v>54569.599999999999</v>
      </c>
      <c r="M287" s="67" t="s">
        <v>130</v>
      </c>
      <c r="N287" s="67" t="s">
        <v>50</v>
      </c>
      <c r="O287" s="64">
        <v>54569.599999999999</v>
      </c>
    </row>
    <row r="288" spans="1:15" ht="15.75" x14ac:dyDescent="0.25">
      <c r="A288" s="56">
        <v>339880.15</v>
      </c>
      <c r="C288" s="56">
        <v>69636.800000000003</v>
      </c>
      <c r="E288" s="56">
        <v>117032</v>
      </c>
      <c r="G288" s="65">
        <v>69636.800000000003</v>
      </c>
      <c r="J288" s="64">
        <v>27469.439999999999</v>
      </c>
      <c r="M288" s="67" t="s">
        <v>130</v>
      </c>
      <c r="N288" s="67" t="s">
        <v>50</v>
      </c>
      <c r="O288" s="64">
        <v>27469.439999999999</v>
      </c>
    </row>
    <row r="289" spans="1:15" ht="15.75" x14ac:dyDescent="0.25">
      <c r="A289" s="56">
        <v>46512</v>
      </c>
      <c r="C289" s="56">
        <v>11018</v>
      </c>
      <c r="E289" s="56">
        <v>85956</v>
      </c>
      <c r="G289" s="65">
        <v>11018</v>
      </c>
      <c r="J289" s="64">
        <v>436112</v>
      </c>
      <c r="M289" s="67" t="s">
        <v>131</v>
      </c>
      <c r="N289" s="67" t="s">
        <v>50</v>
      </c>
      <c r="O289" s="64">
        <v>436112</v>
      </c>
    </row>
    <row r="290" spans="1:15" ht="15.75" x14ac:dyDescent="0.25">
      <c r="A290" s="58"/>
      <c r="C290" s="56">
        <v>25755.8</v>
      </c>
      <c r="E290" s="56">
        <v>185576</v>
      </c>
      <c r="G290" s="65">
        <v>25755.8</v>
      </c>
      <c r="J290" s="64">
        <v>1018000</v>
      </c>
      <c r="M290" s="67" t="s">
        <v>131</v>
      </c>
      <c r="N290" s="67" t="s">
        <v>50</v>
      </c>
      <c r="O290" s="64">
        <v>1018000</v>
      </c>
    </row>
    <row r="291" spans="1:15" ht="15.75" x14ac:dyDescent="0.25">
      <c r="A291" s="56">
        <v>3381</v>
      </c>
      <c r="C291" s="57"/>
      <c r="E291" s="56">
        <v>111134.8</v>
      </c>
      <c r="G291" s="64">
        <v>98353.5</v>
      </c>
      <c r="J291" s="64">
        <v>34003.1</v>
      </c>
      <c r="M291" s="67" t="s">
        <v>131</v>
      </c>
      <c r="N291" s="67" t="s">
        <v>50</v>
      </c>
      <c r="O291" s="64">
        <v>34003.1</v>
      </c>
    </row>
    <row r="292" spans="1:15" ht="15.75" x14ac:dyDescent="0.25">
      <c r="A292" s="58"/>
      <c r="C292" s="56">
        <v>90988.94</v>
      </c>
      <c r="E292" s="56">
        <v>17265.599999999999</v>
      </c>
      <c r="G292" s="65">
        <v>90988.94</v>
      </c>
      <c r="J292" s="64">
        <v>59487.1</v>
      </c>
      <c r="M292" s="67" t="s">
        <v>131</v>
      </c>
      <c r="N292" s="67" t="s">
        <v>50</v>
      </c>
      <c r="O292" s="64">
        <v>59487.1</v>
      </c>
    </row>
    <row r="293" spans="1:15" ht="15.75" x14ac:dyDescent="0.25">
      <c r="A293" s="58"/>
      <c r="C293" s="56">
        <v>93354.75</v>
      </c>
      <c r="E293" s="56">
        <v>36000</v>
      </c>
      <c r="G293" s="65">
        <v>93354.75</v>
      </c>
      <c r="J293" s="64">
        <v>25788.1</v>
      </c>
      <c r="M293" s="67" t="s">
        <v>131</v>
      </c>
      <c r="N293" s="67" t="s">
        <v>50</v>
      </c>
      <c r="O293" s="64">
        <v>25788.1</v>
      </c>
    </row>
    <row r="294" spans="1:15" ht="15.75" x14ac:dyDescent="0.25">
      <c r="A294" s="58"/>
      <c r="C294" s="57"/>
      <c r="E294" s="56">
        <v>9849.6</v>
      </c>
      <c r="G294" s="64">
        <v>1468717.4</v>
      </c>
      <c r="J294" s="64">
        <v>77220.800000000003</v>
      </c>
      <c r="M294" s="67" t="s">
        <v>131</v>
      </c>
      <c r="N294" s="67" t="s">
        <v>50</v>
      </c>
      <c r="O294" s="64">
        <v>77220.800000000003</v>
      </c>
    </row>
    <row r="295" spans="1:15" ht="15.75" x14ac:dyDescent="0.25">
      <c r="A295" s="56">
        <v>258180</v>
      </c>
      <c r="C295" s="57"/>
      <c r="E295" s="56">
        <v>708155</v>
      </c>
      <c r="G295" s="64">
        <v>22109.119999999999</v>
      </c>
      <c r="J295" s="64">
        <v>34024.480000000003</v>
      </c>
      <c r="M295" s="67" t="s">
        <v>131</v>
      </c>
      <c r="N295" s="67" t="s">
        <v>50</v>
      </c>
      <c r="O295" s="64">
        <v>34024.480000000003</v>
      </c>
    </row>
    <row r="296" spans="1:15" ht="15.75" x14ac:dyDescent="0.25">
      <c r="A296" s="58"/>
      <c r="C296" s="57"/>
      <c r="E296" s="56">
        <v>137630.68</v>
      </c>
      <c r="G296" s="64">
        <v>88545</v>
      </c>
      <c r="J296" s="64">
        <v>29065.75</v>
      </c>
      <c r="M296" s="67" t="s">
        <v>132</v>
      </c>
      <c r="N296" s="67" t="s">
        <v>50</v>
      </c>
      <c r="O296" s="64">
        <v>29065.75</v>
      </c>
    </row>
    <row r="297" spans="1:15" ht="15.75" x14ac:dyDescent="0.25">
      <c r="A297" s="56">
        <v>11496.6</v>
      </c>
      <c r="C297" s="57"/>
      <c r="E297" s="56">
        <v>6824</v>
      </c>
      <c r="G297" s="64">
        <v>1411424</v>
      </c>
      <c r="J297" s="64">
        <v>32769.64</v>
      </c>
      <c r="M297" s="67" t="s">
        <v>133</v>
      </c>
      <c r="N297" s="67" t="s">
        <v>50</v>
      </c>
      <c r="O297" s="64">
        <v>32769.64</v>
      </c>
    </row>
    <row r="298" spans="1:15" ht="15.75" x14ac:dyDescent="0.25">
      <c r="A298" s="56">
        <v>322149</v>
      </c>
      <c r="C298" s="57"/>
      <c r="E298" s="58"/>
      <c r="G298" s="64">
        <v>439303.2</v>
      </c>
      <c r="J298" s="64">
        <v>146412</v>
      </c>
      <c r="M298" s="67" t="s">
        <v>133</v>
      </c>
      <c r="N298" s="67" t="s">
        <v>11</v>
      </c>
      <c r="O298" s="64">
        <v>146412</v>
      </c>
    </row>
    <row r="299" spans="1:15" ht="15.75" x14ac:dyDescent="0.25">
      <c r="A299" s="56">
        <v>7735</v>
      </c>
      <c r="C299" s="56">
        <v>130064.9</v>
      </c>
      <c r="E299" s="56">
        <v>30435</v>
      </c>
      <c r="G299" s="65">
        <v>130064.9</v>
      </c>
      <c r="J299" s="64">
        <v>149214.6</v>
      </c>
      <c r="M299" s="67" t="s">
        <v>134</v>
      </c>
      <c r="N299" s="67" t="s">
        <v>50</v>
      </c>
      <c r="O299" s="64">
        <v>149214.6</v>
      </c>
    </row>
    <row r="300" spans="1:15" ht="15.75" x14ac:dyDescent="0.25">
      <c r="A300" s="58"/>
      <c r="C300" s="58"/>
      <c r="E300" s="56">
        <v>64045.2</v>
      </c>
      <c r="G300" s="58"/>
      <c r="J300" s="64">
        <v>315759.09999999998</v>
      </c>
      <c r="M300" s="67" t="s">
        <v>134</v>
      </c>
      <c r="N300" s="67" t="s">
        <v>50</v>
      </c>
      <c r="O300" s="64">
        <v>315759.09999999998</v>
      </c>
    </row>
    <row r="301" spans="1:15" ht="15.75" x14ac:dyDescent="0.25">
      <c r="A301" s="56">
        <v>25710.75</v>
      </c>
      <c r="C301" s="58"/>
      <c r="E301" s="56">
        <v>65248</v>
      </c>
      <c r="G301" s="58"/>
      <c r="J301" s="64">
        <v>5438131.9000000004</v>
      </c>
      <c r="M301" s="67" t="s">
        <v>134</v>
      </c>
      <c r="N301" s="67" t="s">
        <v>50</v>
      </c>
      <c r="O301" s="64">
        <v>5438131.9000000004</v>
      </c>
    </row>
    <row r="302" spans="1:15" ht="15.75" x14ac:dyDescent="0.25">
      <c r="A302" s="56">
        <v>41145.75</v>
      </c>
      <c r="C302" s="56">
        <v>736658.38</v>
      </c>
      <c r="E302" s="56">
        <v>261736.5</v>
      </c>
      <c r="G302" s="65">
        <v>736658.38</v>
      </c>
      <c r="J302" s="64">
        <v>13524607.800000001</v>
      </c>
      <c r="M302" s="67" t="s">
        <v>134</v>
      </c>
      <c r="N302" s="67" t="s">
        <v>50</v>
      </c>
      <c r="O302" s="64">
        <v>13524607.800000001</v>
      </c>
    </row>
    <row r="303" spans="1:15" ht="15.75" x14ac:dyDescent="0.25">
      <c r="A303" s="56">
        <v>78455.06</v>
      </c>
      <c r="C303" s="57"/>
      <c r="E303" s="56">
        <v>650429.25</v>
      </c>
      <c r="G303" s="64">
        <v>32480</v>
      </c>
      <c r="J303" s="64">
        <v>1339299.3600000001</v>
      </c>
      <c r="M303" s="67" t="s">
        <v>134</v>
      </c>
      <c r="N303" s="67" t="s">
        <v>50</v>
      </c>
      <c r="O303" s="64">
        <v>1339299.3600000001</v>
      </c>
    </row>
    <row r="304" spans="1:15" ht="15.75" x14ac:dyDescent="0.25">
      <c r="A304" s="56">
        <v>2852</v>
      </c>
      <c r="C304" s="56">
        <v>20614.5</v>
      </c>
      <c r="E304" s="56">
        <v>63540</v>
      </c>
      <c r="G304" s="65">
        <v>20614.5</v>
      </c>
      <c r="J304" s="64">
        <v>522328</v>
      </c>
      <c r="M304" s="67" t="s">
        <v>135</v>
      </c>
      <c r="N304" s="67" t="s">
        <v>50</v>
      </c>
      <c r="O304" s="64">
        <v>522328</v>
      </c>
    </row>
    <row r="305" spans="1:15" ht="15.75" x14ac:dyDescent="0.25">
      <c r="A305" s="56">
        <v>16543.8</v>
      </c>
      <c r="C305" s="56">
        <v>9099</v>
      </c>
      <c r="E305" s="56">
        <v>6627.45</v>
      </c>
      <c r="G305" s="65">
        <v>9099</v>
      </c>
      <c r="J305" s="64">
        <v>531943.96</v>
      </c>
      <c r="M305" s="67" t="s">
        <v>135</v>
      </c>
      <c r="N305" s="67" t="s">
        <v>50</v>
      </c>
      <c r="O305" s="64">
        <v>531943.96</v>
      </c>
    </row>
    <row r="306" spans="1:15" ht="15.75" x14ac:dyDescent="0.25">
      <c r="A306" s="56">
        <v>104585.12</v>
      </c>
      <c r="C306" s="58"/>
      <c r="E306" s="56">
        <v>6343.26</v>
      </c>
      <c r="G306" s="58"/>
      <c r="J306" s="64">
        <v>567691.54</v>
      </c>
      <c r="M306" s="67" t="s">
        <v>135</v>
      </c>
      <c r="N306" s="67" t="s">
        <v>50</v>
      </c>
      <c r="O306" s="64">
        <v>567691.54</v>
      </c>
    </row>
    <row r="307" spans="1:15" ht="15.75" x14ac:dyDescent="0.25">
      <c r="A307" s="56">
        <v>17859.8</v>
      </c>
      <c r="C307" s="56">
        <v>6432</v>
      </c>
      <c r="E307" s="56">
        <v>16666.400000000001</v>
      </c>
      <c r="G307" s="65">
        <v>6432</v>
      </c>
      <c r="J307" s="64">
        <v>574448.9</v>
      </c>
      <c r="M307" s="67" t="s">
        <v>135</v>
      </c>
      <c r="N307" s="67" t="s">
        <v>50</v>
      </c>
      <c r="O307" s="64">
        <v>574448.9</v>
      </c>
    </row>
    <row r="308" spans="1:15" ht="15.75" x14ac:dyDescent="0.25">
      <c r="A308" s="58"/>
      <c r="C308" s="58"/>
      <c r="E308" s="56">
        <v>77460.800000000003</v>
      </c>
      <c r="G308" s="58"/>
      <c r="J308" s="64">
        <v>528706.06000000006</v>
      </c>
      <c r="M308" s="67" t="s">
        <v>135</v>
      </c>
      <c r="N308" s="67" t="s">
        <v>50</v>
      </c>
      <c r="O308" s="64">
        <v>528706.06000000006</v>
      </c>
    </row>
    <row r="309" spans="1:15" ht="15.75" x14ac:dyDescent="0.25">
      <c r="A309" s="56">
        <v>30750.400000000001</v>
      </c>
      <c r="C309" s="58"/>
      <c r="E309" s="56">
        <v>28771.200000000001</v>
      </c>
      <c r="G309" s="58"/>
      <c r="J309" s="64">
        <v>171281.2</v>
      </c>
      <c r="M309" s="67" t="s">
        <v>135</v>
      </c>
      <c r="N309" s="67" t="s">
        <v>50</v>
      </c>
      <c r="O309" s="64">
        <v>171281.2</v>
      </c>
    </row>
    <row r="310" spans="1:15" ht="15.75" x14ac:dyDescent="0.25">
      <c r="A310" s="58"/>
      <c r="C310" s="58"/>
      <c r="E310" s="56">
        <v>215191.4</v>
      </c>
      <c r="G310" s="58"/>
      <c r="J310" s="64">
        <v>21265.360000000001</v>
      </c>
      <c r="M310" s="67" t="s">
        <v>135</v>
      </c>
      <c r="N310" s="67" t="s">
        <v>50</v>
      </c>
      <c r="O310" s="64">
        <v>21265.360000000001</v>
      </c>
    </row>
    <row r="311" spans="1:15" ht="15.75" x14ac:dyDescent="0.25">
      <c r="A311" s="58"/>
      <c r="C311" s="58"/>
      <c r="E311" s="56">
        <v>75622.100000000006</v>
      </c>
      <c r="G311" s="58"/>
      <c r="J311" s="64">
        <v>203958.39</v>
      </c>
      <c r="M311" s="67" t="s">
        <v>135</v>
      </c>
      <c r="N311" s="67" t="s">
        <v>11</v>
      </c>
      <c r="O311" s="64">
        <v>203958.39</v>
      </c>
    </row>
    <row r="312" spans="1:15" ht="15.75" x14ac:dyDescent="0.25">
      <c r="A312" s="56">
        <v>8632.7999999999993</v>
      </c>
      <c r="C312" s="57"/>
      <c r="E312" s="56">
        <v>74301.149999999994</v>
      </c>
      <c r="G312" s="64">
        <v>297151</v>
      </c>
      <c r="J312" s="64">
        <v>127109.32</v>
      </c>
      <c r="M312" s="67" t="s">
        <v>135</v>
      </c>
      <c r="N312" s="67" t="s">
        <v>11</v>
      </c>
      <c r="O312" s="64">
        <v>127109.32</v>
      </c>
    </row>
    <row r="313" spans="1:15" ht="15.75" x14ac:dyDescent="0.25">
      <c r="A313" s="56">
        <v>32757.75</v>
      </c>
      <c r="C313" s="58"/>
      <c r="E313" s="56">
        <v>2552.8000000000002</v>
      </c>
      <c r="G313" s="58"/>
      <c r="J313" s="64">
        <v>355976.79</v>
      </c>
      <c r="M313" s="67" t="s">
        <v>135</v>
      </c>
      <c r="N313" s="67" t="s">
        <v>50</v>
      </c>
      <c r="O313" s="64">
        <v>355976.79</v>
      </c>
    </row>
    <row r="314" spans="1:15" ht="15.75" x14ac:dyDescent="0.25">
      <c r="A314" s="56">
        <v>3230.76</v>
      </c>
      <c r="C314" s="56">
        <v>157569.29999999999</v>
      </c>
      <c r="E314" s="56">
        <v>2128.8000000000002</v>
      </c>
      <c r="G314" s="65">
        <v>157569.29999999999</v>
      </c>
      <c r="J314" s="64">
        <v>4130047.76</v>
      </c>
      <c r="M314" s="67" t="s">
        <v>135</v>
      </c>
      <c r="N314" s="67" t="s">
        <v>50</v>
      </c>
      <c r="O314" s="64">
        <v>4130047.76</v>
      </c>
    </row>
    <row r="315" spans="1:15" ht="15.75" x14ac:dyDescent="0.25">
      <c r="A315" s="56">
        <v>300214.25</v>
      </c>
      <c r="C315" s="58"/>
      <c r="E315" s="56">
        <v>1003653.22</v>
      </c>
      <c r="G315" s="58"/>
      <c r="J315" s="64">
        <v>353293.12</v>
      </c>
      <c r="M315" s="67" t="s">
        <v>135</v>
      </c>
      <c r="N315" s="67" t="s">
        <v>50</v>
      </c>
      <c r="O315" s="64">
        <v>353293.12</v>
      </c>
    </row>
    <row r="316" spans="1:15" ht="15.75" x14ac:dyDescent="0.25">
      <c r="A316" s="56">
        <v>172441.5</v>
      </c>
      <c r="C316" s="58"/>
      <c r="E316" s="56">
        <v>575740.19999999995</v>
      </c>
      <c r="G316" s="58"/>
      <c r="J316" s="64">
        <v>4080542.08</v>
      </c>
      <c r="M316" s="67" t="s">
        <v>135</v>
      </c>
      <c r="N316" s="67" t="s">
        <v>50</v>
      </c>
      <c r="O316" s="64">
        <v>4080542.08</v>
      </c>
    </row>
    <row r="317" spans="1:15" ht="15.75" x14ac:dyDescent="0.25">
      <c r="A317" s="56">
        <v>16384.8</v>
      </c>
      <c r="C317" s="58"/>
      <c r="E317" s="56">
        <v>13645.8</v>
      </c>
      <c r="G317" s="58"/>
      <c r="J317" s="64">
        <v>37985.71</v>
      </c>
      <c r="M317" s="67" t="s">
        <v>136</v>
      </c>
      <c r="N317" s="67" t="s">
        <v>50</v>
      </c>
      <c r="O317" s="64">
        <v>37985.71</v>
      </c>
    </row>
    <row r="318" spans="1:15" ht="15.75" x14ac:dyDescent="0.25">
      <c r="A318" s="56">
        <v>60681.599999999999</v>
      </c>
      <c r="C318" s="56">
        <v>146421.46</v>
      </c>
      <c r="E318" s="57"/>
      <c r="G318" s="65">
        <v>146421.46</v>
      </c>
      <c r="J318" s="64">
        <v>370395</v>
      </c>
      <c r="M318" s="67" t="s">
        <v>137</v>
      </c>
      <c r="N318" s="67" t="s">
        <v>50</v>
      </c>
      <c r="O318" s="64">
        <v>370395</v>
      </c>
    </row>
    <row r="319" spans="1:15" ht="15.75" x14ac:dyDescent="0.25">
      <c r="A319" s="58"/>
      <c r="C319" s="56">
        <v>78214.5</v>
      </c>
      <c r="E319" s="56">
        <v>31968</v>
      </c>
      <c r="G319" s="65">
        <v>78214.5</v>
      </c>
      <c r="J319" s="64">
        <v>723564.78</v>
      </c>
      <c r="M319" s="67" t="s">
        <v>137</v>
      </c>
      <c r="N319" s="67" t="s">
        <v>50</v>
      </c>
      <c r="O319" s="64">
        <v>723564.78</v>
      </c>
    </row>
    <row r="320" spans="1:15" ht="15.75" x14ac:dyDescent="0.25">
      <c r="A320" s="56">
        <v>2739.04</v>
      </c>
      <c r="C320" s="58"/>
      <c r="E320" s="56">
        <v>20259.2</v>
      </c>
      <c r="G320" s="58"/>
      <c r="J320" s="64">
        <v>2871712</v>
      </c>
      <c r="M320" s="67" t="s">
        <v>137</v>
      </c>
      <c r="N320" s="67" t="s">
        <v>50</v>
      </c>
      <c r="O320" s="64">
        <v>2871712</v>
      </c>
    </row>
    <row r="321" spans="1:15" ht="15.75" x14ac:dyDescent="0.25">
      <c r="A321" s="56">
        <v>2773.55</v>
      </c>
      <c r="C321" s="58"/>
      <c r="E321" s="56">
        <v>13290.88</v>
      </c>
      <c r="G321" s="58"/>
      <c r="J321" s="64">
        <v>74933.990000000005</v>
      </c>
      <c r="M321" s="67" t="s">
        <v>137</v>
      </c>
      <c r="N321" s="67" t="s">
        <v>50</v>
      </c>
      <c r="O321" s="64">
        <v>74933.990000000005</v>
      </c>
    </row>
    <row r="322" spans="1:15" ht="15.75" x14ac:dyDescent="0.25">
      <c r="A322" s="56">
        <v>27864.639999999999</v>
      </c>
      <c r="C322" s="58"/>
      <c r="E322" s="56">
        <v>53900</v>
      </c>
      <c r="G322" s="58"/>
      <c r="J322" s="64">
        <v>9034.0499999999993</v>
      </c>
      <c r="M322" s="67" t="s">
        <v>137</v>
      </c>
      <c r="N322" s="67" t="s">
        <v>50</v>
      </c>
      <c r="O322" s="64">
        <v>9034.0499999999993</v>
      </c>
    </row>
    <row r="323" spans="1:15" ht="15.75" x14ac:dyDescent="0.25">
      <c r="A323" s="56">
        <v>5920.6</v>
      </c>
      <c r="C323" s="56">
        <v>12062.25</v>
      </c>
      <c r="E323" s="56">
        <v>21288</v>
      </c>
      <c r="G323" s="65">
        <v>12062.25</v>
      </c>
      <c r="J323" s="64">
        <v>41209.56</v>
      </c>
      <c r="M323" s="67" t="s">
        <v>137</v>
      </c>
      <c r="N323" s="67" t="s">
        <v>50</v>
      </c>
      <c r="O323" s="64">
        <v>41209.56</v>
      </c>
    </row>
    <row r="324" spans="1:15" ht="15.75" x14ac:dyDescent="0.25">
      <c r="A324" s="56">
        <v>159456</v>
      </c>
      <c r="C324" s="56">
        <v>10905</v>
      </c>
      <c r="E324" s="56">
        <v>931760</v>
      </c>
      <c r="G324" s="65">
        <v>10905</v>
      </c>
      <c r="J324" s="64">
        <v>42262.9</v>
      </c>
      <c r="M324" s="67" t="s">
        <v>137</v>
      </c>
      <c r="N324" s="67" t="s">
        <v>50</v>
      </c>
      <c r="O324" s="64">
        <v>42262.9</v>
      </c>
    </row>
    <row r="325" spans="1:15" ht="15.75" x14ac:dyDescent="0.25">
      <c r="A325" s="56">
        <v>37156.400000000001</v>
      </c>
      <c r="C325" s="57"/>
      <c r="E325" s="56">
        <v>249446.25</v>
      </c>
      <c r="G325" s="64">
        <v>549178.5</v>
      </c>
      <c r="J325" s="64">
        <v>233269.79</v>
      </c>
      <c r="M325" s="67" t="s">
        <v>138</v>
      </c>
      <c r="N325" s="67" t="s">
        <v>50</v>
      </c>
      <c r="O325" s="64">
        <v>233269.79</v>
      </c>
    </row>
    <row r="326" spans="1:15" ht="15.75" x14ac:dyDescent="0.25">
      <c r="A326" s="56">
        <v>39678.080000000002</v>
      </c>
      <c r="C326" s="58"/>
      <c r="E326" s="57"/>
      <c r="G326" s="58"/>
      <c r="J326" s="64">
        <v>285374</v>
      </c>
      <c r="M326" s="67" t="s">
        <v>139</v>
      </c>
      <c r="N326" s="67" t="s">
        <v>50</v>
      </c>
      <c r="O326" s="64">
        <v>285374</v>
      </c>
    </row>
    <row r="327" spans="1:15" ht="15.75" x14ac:dyDescent="0.25">
      <c r="A327" s="56">
        <v>51695.199999999997</v>
      </c>
      <c r="C327" s="57"/>
      <c r="E327" s="56">
        <v>10556.65</v>
      </c>
      <c r="G327" s="64">
        <v>1887862.14</v>
      </c>
      <c r="J327" s="64">
        <v>230386</v>
      </c>
      <c r="M327" s="67" t="s">
        <v>139</v>
      </c>
      <c r="N327" s="67" t="s">
        <v>50</v>
      </c>
      <c r="O327" s="64">
        <v>230386</v>
      </c>
    </row>
    <row r="328" spans="1:15" ht="15.75" x14ac:dyDescent="0.25">
      <c r="A328" s="56">
        <v>20386.400000000001</v>
      </c>
      <c r="C328" s="56">
        <v>58254</v>
      </c>
      <c r="E328" s="56">
        <v>31868.799999999999</v>
      </c>
      <c r="G328" s="65">
        <v>58254</v>
      </c>
      <c r="J328" s="64">
        <v>151277.4</v>
      </c>
      <c r="M328" s="67" t="s">
        <v>140</v>
      </c>
      <c r="N328" s="67" t="s">
        <v>50</v>
      </c>
      <c r="O328" s="64">
        <v>151277.4</v>
      </c>
    </row>
    <row r="329" spans="1:15" ht="15.75" x14ac:dyDescent="0.25">
      <c r="A329" s="56">
        <v>27059.200000000001</v>
      </c>
      <c r="C329" s="57"/>
      <c r="E329" s="56">
        <v>7673.6</v>
      </c>
      <c r="G329" s="64">
        <v>4756.5</v>
      </c>
      <c r="J329" s="64">
        <v>301000.34999999998</v>
      </c>
      <c r="M329" s="67" t="s">
        <v>141</v>
      </c>
      <c r="N329" s="67" t="s">
        <v>50</v>
      </c>
      <c r="O329" s="64">
        <v>301000.34999999998</v>
      </c>
    </row>
    <row r="330" spans="1:15" ht="15.75" x14ac:dyDescent="0.25">
      <c r="A330" s="56">
        <v>44556.52</v>
      </c>
      <c r="C330" s="57"/>
      <c r="E330" s="56">
        <v>10009.6</v>
      </c>
      <c r="G330" s="64">
        <v>41199.9</v>
      </c>
      <c r="J330" s="64">
        <v>951425.37</v>
      </c>
      <c r="M330" s="67" t="s">
        <v>141</v>
      </c>
      <c r="N330" s="67" t="s">
        <v>50</v>
      </c>
      <c r="O330" s="64">
        <v>951425.37</v>
      </c>
    </row>
    <row r="331" spans="1:15" ht="15.75" x14ac:dyDescent="0.25">
      <c r="A331" s="56">
        <v>156455.12</v>
      </c>
      <c r="C331" s="57"/>
      <c r="E331" s="57"/>
      <c r="G331" s="64">
        <v>138060</v>
      </c>
      <c r="J331" s="64">
        <v>296380.15999999997</v>
      </c>
      <c r="M331" s="67" t="s">
        <v>142</v>
      </c>
      <c r="N331" s="67" t="s">
        <v>50</v>
      </c>
      <c r="O331" s="64">
        <v>296380.15999999997</v>
      </c>
    </row>
    <row r="332" spans="1:15" ht="15.75" x14ac:dyDescent="0.25">
      <c r="A332" s="56">
        <v>111657.75</v>
      </c>
      <c r="C332" s="57"/>
      <c r="E332" s="56">
        <v>129492.44</v>
      </c>
      <c r="G332" s="64">
        <v>52028.800000000003</v>
      </c>
      <c r="J332" s="64">
        <v>9724</v>
      </c>
      <c r="M332" s="67" t="s">
        <v>142</v>
      </c>
      <c r="N332" s="67" t="s">
        <v>50</v>
      </c>
      <c r="O332" s="64">
        <v>9724</v>
      </c>
    </row>
    <row r="333" spans="1:15" ht="15.75" x14ac:dyDescent="0.25">
      <c r="A333" s="56">
        <v>16613.599999999999</v>
      </c>
      <c r="C333" s="56">
        <v>86041.8</v>
      </c>
      <c r="E333" s="56">
        <v>139777.64000000001</v>
      </c>
      <c r="G333" s="65">
        <v>86041.8</v>
      </c>
      <c r="J333" s="64">
        <v>2922586.08</v>
      </c>
      <c r="M333" s="67" t="s">
        <v>142</v>
      </c>
      <c r="N333" s="67" t="s">
        <v>50</v>
      </c>
      <c r="O333" s="64">
        <v>2922586.08</v>
      </c>
    </row>
    <row r="334" spans="1:15" ht="15.75" x14ac:dyDescent="0.25">
      <c r="A334" s="56">
        <v>10308.64</v>
      </c>
      <c r="C334" s="57"/>
      <c r="E334" s="56">
        <v>15750</v>
      </c>
      <c r="G334" s="64">
        <v>145855</v>
      </c>
      <c r="J334" s="64">
        <v>12760</v>
      </c>
      <c r="M334" s="67" t="s">
        <v>142</v>
      </c>
      <c r="N334" s="67" t="s">
        <v>50</v>
      </c>
      <c r="O334" s="64">
        <v>12760</v>
      </c>
    </row>
    <row r="335" spans="1:15" ht="15.75" x14ac:dyDescent="0.25">
      <c r="A335" s="56">
        <v>18513</v>
      </c>
      <c r="C335" s="56">
        <v>27595.5</v>
      </c>
      <c r="E335" s="56">
        <v>3373.2</v>
      </c>
      <c r="G335" s="65">
        <v>27595.5</v>
      </c>
      <c r="J335" s="64">
        <v>2650183.27</v>
      </c>
      <c r="M335" s="67" t="s">
        <v>143</v>
      </c>
      <c r="N335" s="67" t="s">
        <v>50</v>
      </c>
      <c r="O335" s="64">
        <v>2650183.27</v>
      </c>
    </row>
    <row r="336" spans="1:15" ht="15.75" x14ac:dyDescent="0.25">
      <c r="A336" s="56">
        <v>1317913.3</v>
      </c>
      <c r="C336" s="56">
        <v>16763.810000000001</v>
      </c>
      <c r="E336" s="56">
        <v>94095.6</v>
      </c>
      <c r="G336" s="65">
        <v>16763.810000000001</v>
      </c>
      <c r="J336" s="64">
        <v>48476.5</v>
      </c>
      <c r="M336" s="67" t="s">
        <v>143</v>
      </c>
      <c r="N336" s="67" t="s">
        <v>50</v>
      </c>
      <c r="O336" s="64">
        <v>48476.5</v>
      </c>
    </row>
    <row r="337" spans="1:15" ht="15.75" x14ac:dyDescent="0.25">
      <c r="A337" s="56">
        <v>528188.94999999995</v>
      </c>
      <c r="C337" s="56">
        <v>499161</v>
      </c>
      <c r="E337" s="56">
        <v>98094.720000000001</v>
      </c>
      <c r="G337" s="65">
        <v>499161</v>
      </c>
      <c r="J337" s="64">
        <v>7188</v>
      </c>
      <c r="M337" s="67" t="s">
        <v>143</v>
      </c>
      <c r="N337" s="67" t="s">
        <v>50</v>
      </c>
      <c r="O337" s="64">
        <v>7188</v>
      </c>
    </row>
    <row r="338" spans="1:15" ht="15.75" x14ac:dyDescent="0.25">
      <c r="A338" s="56">
        <v>76435.199999999997</v>
      </c>
      <c r="C338" s="57"/>
      <c r="E338" s="60"/>
      <c r="G338" s="64">
        <v>146911.79999999999</v>
      </c>
      <c r="J338" s="64">
        <v>44064.800000000003</v>
      </c>
      <c r="M338" s="67" t="s">
        <v>143</v>
      </c>
      <c r="N338" s="67" t="s">
        <v>50</v>
      </c>
      <c r="O338" s="64">
        <v>44064.800000000003</v>
      </c>
    </row>
    <row r="339" spans="1:15" ht="15.75" x14ac:dyDescent="0.25">
      <c r="A339" s="56">
        <v>157455</v>
      </c>
      <c r="C339" s="56">
        <v>3179.25</v>
      </c>
      <c r="E339" s="58"/>
      <c r="G339" s="65">
        <v>3179.25</v>
      </c>
      <c r="J339" s="64">
        <v>2998</v>
      </c>
      <c r="M339" s="67" t="s">
        <v>143</v>
      </c>
      <c r="N339" s="67" t="s">
        <v>50</v>
      </c>
      <c r="O339" s="64">
        <v>2998</v>
      </c>
    </row>
    <row r="340" spans="1:15" ht="15.75" x14ac:dyDescent="0.25">
      <c r="A340" s="58"/>
      <c r="C340" s="56">
        <v>16825.599999999999</v>
      </c>
      <c r="E340" s="56">
        <v>102191.88</v>
      </c>
      <c r="G340" s="65">
        <v>16825.599999999999</v>
      </c>
      <c r="J340" s="64">
        <v>48147.199999999997</v>
      </c>
      <c r="M340" s="67" t="s">
        <v>144</v>
      </c>
      <c r="N340" s="67" t="s">
        <v>11</v>
      </c>
      <c r="O340" s="64">
        <v>48147.199999999997</v>
      </c>
    </row>
    <row r="341" spans="1:15" ht="15.75" x14ac:dyDescent="0.25">
      <c r="A341" s="58"/>
      <c r="C341" s="58"/>
      <c r="E341" s="56">
        <v>21142.400000000001</v>
      </c>
      <c r="G341" s="58"/>
      <c r="J341" s="64">
        <v>97586.8</v>
      </c>
      <c r="M341" s="67" t="s">
        <v>144</v>
      </c>
      <c r="N341" s="67" t="s">
        <v>50</v>
      </c>
      <c r="O341" s="64">
        <v>97586.8</v>
      </c>
    </row>
    <row r="342" spans="1:15" ht="15.75" x14ac:dyDescent="0.25">
      <c r="A342" s="56">
        <v>41270.400000000001</v>
      </c>
      <c r="C342" s="56">
        <v>8799</v>
      </c>
      <c r="E342" s="56">
        <v>273988.5</v>
      </c>
      <c r="G342" s="65">
        <v>8799</v>
      </c>
      <c r="J342" s="64">
        <v>74335.600000000006</v>
      </c>
      <c r="M342" s="67" t="s">
        <v>144</v>
      </c>
      <c r="N342" s="67" t="s">
        <v>50</v>
      </c>
      <c r="O342" s="64">
        <v>74335.600000000006</v>
      </c>
    </row>
    <row r="343" spans="1:15" ht="15.75" x14ac:dyDescent="0.25">
      <c r="A343" s="56">
        <v>224132.37</v>
      </c>
      <c r="C343" s="57"/>
      <c r="E343" s="56">
        <v>12400</v>
      </c>
      <c r="G343" s="64">
        <v>123697.45</v>
      </c>
      <c r="J343" s="64">
        <v>12562041.199999999</v>
      </c>
      <c r="M343" s="67" t="s">
        <v>144</v>
      </c>
      <c r="N343" s="67" t="s">
        <v>50</v>
      </c>
      <c r="O343" s="64">
        <v>12562041.199999999</v>
      </c>
    </row>
    <row r="344" spans="1:15" ht="15.75" x14ac:dyDescent="0.25">
      <c r="A344" s="56">
        <v>25475.200000000001</v>
      </c>
      <c r="C344" s="57"/>
      <c r="E344" s="56">
        <v>24391.200000000001</v>
      </c>
      <c r="G344" s="64">
        <v>372772.8</v>
      </c>
      <c r="J344" s="64">
        <v>133599.76</v>
      </c>
      <c r="M344" s="67" t="s">
        <v>144</v>
      </c>
      <c r="N344" s="67" t="s">
        <v>50</v>
      </c>
      <c r="O344" s="64">
        <v>133599.76</v>
      </c>
    </row>
    <row r="345" spans="1:15" ht="15.75" x14ac:dyDescent="0.25">
      <c r="A345" s="56">
        <v>11822.4</v>
      </c>
      <c r="C345" s="58"/>
      <c r="E345" s="56">
        <v>42609.75</v>
      </c>
      <c r="G345" s="58"/>
      <c r="J345" s="64">
        <v>481846</v>
      </c>
      <c r="M345" s="67" t="s">
        <v>144</v>
      </c>
      <c r="N345" s="67" t="s">
        <v>50</v>
      </c>
      <c r="O345" s="64">
        <v>481846</v>
      </c>
    </row>
    <row r="346" spans="1:15" ht="15.75" x14ac:dyDescent="0.25">
      <c r="A346" s="56">
        <v>29339.040000000001</v>
      </c>
      <c r="C346" s="58"/>
      <c r="E346" s="56">
        <v>1791</v>
      </c>
      <c r="G346" s="58"/>
      <c r="J346" s="64">
        <v>33196.050000000003</v>
      </c>
      <c r="M346" s="67" t="s">
        <v>145</v>
      </c>
      <c r="N346" s="67" t="s">
        <v>50</v>
      </c>
      <c r="O346" s="64">
        <v>33196.050000000003</v>
      </c>
    </row>
    <row r="347" spans="1:15" ht="15.75" x14ac:dyDescent="0.25">
      <c r="A347" s="56">
        <v>22693.200000000001</v>
      </c>
      <c r="C347" s="62"/>
      <c r="E347" s="56">
        <v>54309.75</v>
      </c>
      <c r="G347" s="66">
        <v>437460.15</v>
      </c>
      <c r="J347" s="64">
        <v>276287.40000000002</v>
      </c>
      <c r="M347" s="67" t="s">
        <v>145</v>
      </c>
      <c r="N347" s="67" t="s">
        <v>50</v>
      </c>
      <c r="O347" s="64">
        <v>276287.40000000002</v>
      </c>
    </row>
    <row r="348" spans="1:15" ht="15.75" x14ac:dyDescent="0.25">
      <c r="A348" s="56">
        <v>14896</v>
      </c>
      <c r="C348" s="58"/>
      <c r="E348" s="56">
        <v>28459.97</v>
      </c>
      <c r="G348" s="58"/>
      <c r="J348" s="64">
        <v>1317782</v>
      </c>
      <c r="M348" s="67" t="s">
        <v>146</v>
      </c>
      <c r="N348" s="67" t="s">
        <v>50</v>
      </c>
      <c r="O348" s="64">
        <v>1317782</v>
      </c>
    </row>
    <row r="349" spans="1:15" ht="15.75" x14ac:dyDescent="0.25">
      <c r="A349" s="56">
        <v>39678.080000000002</v>
      </c>
      <c r="C349" s="56">
        <v>119839.5</v>
      </c>
      <c r="E349" s="56">
        <v>6671.65</v>
      </c>
      <c r="G349" s="65">
        <v>119839.5</v>
      </c>
      <c r="J349" s="64">
        <v>59939</v>
      </c>
      <c r="M349" s="67" t="s">
        <v>146</v>
      </c>
      <c r="N349" s="67" t="s">
        <v>50</v>
      </c>
      <c r="O349" s="64">
        <v>59939</v>
      </c>
    </row>
    <row r="350" spans="1:15" ht="15.75" x14ac:dyDescent="0.25">
      <c r="A350" s="56">
        <v>54184.959999999999</v>
      </c>
      <c r="C350" s="57"/>
      <c r="E350" s="58"/>
      <c r="G350" s="64">
        <v>433990.15</v>
      </c>
      <c r="J350" s="64">
        <v>12829.05</v>
      </c>
      <c r="M350" s="67" t="s">
        <v>146</v>
      </c>
      <c r="N350" s="67" t="s">
        <v>50</v>
      </c>
      <c r="O350" s="64">
        <v>12829.05</v>
      </c>
    </row>
    <row r="351" spans="1:15" ht="15.75" x14ac:dyDescent="0.25">
      <c r="A351" s="56">
        <v>58763.199999999997</v>
      </c>
      <c r="C351" s="57"/>
      <c r="E351" s="56">
        <v>597632</v>
      </c>
      <c r="G351" s="64">
        <v>23844</v>
      </c>
      <c r="J351" s="64">
        <v>204122.8</v>
      </c>
      <c r="M351" s="67" t="s">
        <v>146</v>
      </c>
      <c r="N351" s="67" t="s">
        <v>11</v>
      </c>
      <c r="O351" s="64">
        <v>204122.8</v>
      </c>
    </row>
    <row r="352" spans="1:15" ht="15.75" x14ac:dyDescent="0.25">
      <c r="A352" s="56">
        <v>35970</v>
      </c>
      <c r="C352" s="57"/>
      <c r="E352" s="56">
        <v>59821.120000000003</v>
      </c>
      <c r="G352" s="64">
        <v>31927.5</v>
      </c>
      <c r="J352" s="64">
        <v>19779.849999999999</v>
      </c>
      <c r="M352" s="67" t="s">
        <v>147</v>
      </c>
      <c r="N352" s="67" t="s">
        <v>11</v>
      </c>
      <c r="O352" s="64">
        <v>19779.849999999999</v>
      </c>
    </row>
    <row r="353" spans="1:15" ht="15.75" x14ac:dyDescent="0.25">
      <c r="A353" s="58"/>
      <c r="C353" s="56">
        <v>9099</v>
      </c>
      <c r="E353" s="56">
        <v>25126.400000000001</v>
      </c>
      <c r="G353" s="65">
        <v>9099</v>
      </c>
      <c r="J353" s="64">
        <v>237813</v>
      </c>
      <c r="M353" s="67" t="s">
        <v>147</v>
      </c>
      <c r="N353" s="67" t="s">
        <v>50</v>
      </c>
      <c r="O353" s="64">
        <v>237813</v>
      </c>
    </row>
    <row r="354" spans="1:15" ht="15.75" x14ac:dyDescent="0.25">
      <c r="A354" s="56">
        <v>6665.4</v>
      </c>
      <c r="C354" s="58"/>
      <c r="E354" s="56">
        <v>30045.75</v>
      </c>
      <c r="G354" s="58"/>
      <c r="J354" s="64">
        <v>2514998</v>
      </c>
      <c r="M354" s="67" t="s">
        <v>148</v>
      </c>
      <c r="N354" s="67" t="s">
        <v>50</v>
      </c>
      <c r="O354" s="64">
        <v>2514998</v>
      </c>
    </row>
    <row r="355" spans="1:15" ht="15.75" x14ac:dyDescent="0.25">
      <c r="A355" s="58"/>
      <c r="C355" s="56">
        <v>431889.2</v>
      </c>
      <c r="E355" s="56">
        <v>629691.30000000005</v>
      </c>
      <c r="G355" s="65">
        <v>431889.2</v>
      </c>
      <c r="J355" s="64">
        <v>13977.6</v>
      </c>
      <c r="M355" s="67" t="s">
        <v>149</v>
      </c>
      <c r="N355" s="67" t="s">
        <v>50</v>
      </c>
      <c r="O355" s="64">
        <v>13977.6</v>
      </c>
    </row>
    <row r="356" spans="1:15" ht="15.75" x14ac:dyDescent="0.25">
      <c r="A356" s="56">
        <v>43759.28</v>
      </c>
      <c r="C356" s="56">
        <v>5175</v>
      </c>
      <c r="E356" s="57"/>
      <c r="G356" s="65">
        <v>5175</v>
      </c>
      <c r="J356" s="64">
        <v>311015</v>
      </c>
      <c r="M356" s="67" t="s">
        <v>149</v>
      </c>
      <c r="N356" s="67" t="s">
        <v>50</v>
      </c>
      <c r="O356" s="64">
        <v>311015</v>
      </c>
    </row>
    <row r="357" spans="1:15" ht="15.75" x14ac:dyDescent="0.25">
      <c r="A357" s="56">
        <v>134977.51999999999</v>
      </c>
      <c r="C357" s="58"/>
      <c r="E357" s="56">
        <v>123874.35</v>
      </c>
      <c r="G357" s="58"/>
      <c r="J357" s="64">
        <v>5715.5</v>
      </c>
      <c r="M357" s="67" t="s">
        <v>149</v>
      </c>
      <c r="N357" s="67" t="s">
        <v>50</v>
      </c>
      <c r="O357" s="64">
        <v>5715.5</v>
      </c>
    </row>
    <row r="358" spans="1:15" ht="15.75" x14ac:dyDescent="0.25">
      <c r="A358" s="58"/>
      <c r="C358" s="56">
        <v>66512.600000000006</v>
      </c>
      <c r="E358" s="56">
        <v>431790.75</v>
      </c>
      <c r="G358" s="65">
        <v>66512.600000000006</v>
      </c>
      <c r="J358" s="64">
        <v>1839024.2</v>
      </c>
      <c r="M358" s="67" t="s">
        <v>149</v>
      </c>
      <c r="N358" s="67" t="s">
        <v>50</v>
      </c>
      <c r="O358" s="64">
        <v>1839024.2</v>
      </c>
    </row>
    <row r="359" spans="1:15" ht="15.75" x14ac:dyDescent="0.25">
      <c r="A359" s="56">
        <v>30822.400000000001</v>
      </c>
      <c r="C359" s="58"/>
      <c r="E359" s="57"/>
      <c r="G359" s="58"/>
      <c r="J359" s="64">
        <v>72980.800000000003</v>
      </c>
      <c r="M359" s="67" t="s">
        <v>149</v>
      </c>
      <c r="N359" s="67" t="s">
        <v>11</v>
      </c>
      <c r="O359" s="64">
        <v>72980.800000000003</v>
      </c>
    </row>
    <row r="360" spans="1:15" ht="15.75" x14ac:dyDescent="0.25">
      <c r="A360" s="56">
        <v>167770.29999999999</v>
      </c>
      <c r="C360" s="58"/>
      <c r="E360" s="56">
        <v>274918.48</v>
      </c>
      <c r="G360" s="58"/>
      <c r="J360" s="64">
        <v>10566</v>
      </c>
      <c r="M360" s="67" t="s">
        <v>149</v>
      </c>
      <c r="N360" s="67" t="s">
        <v>50</v>
      </c>
      <c r="O360" s="64">
        <v>10566</v>
      </c>
    </row>
    <row r="361" spans="1:15" ht="15.75" x14ac:dyDescent="0.25">
      <c r="A361" s="56">
        <v>273101.40000000002</v>
      </c>
      <c r="C361" s="57"/>
      <c r="E361" s="57"/>
      <c r="G361" s="64">
        <v>127090.26</v>
      </c>
      <c r="J361" s="64">
        <v>45885.760000000002</v>
      </c>
      <c r="M361" s="67" t="s">
        <v>150</v>
      </c>
      <c r="N361" s="67" t="s">
        <v>50</v>
      </c>
      <c r="O361" s="64">
        <v>45885.760000000002</v>
      </c>
    </row>
    <row r="362" spans="1:15" ht="15.75" x14ac:dyDescent="0.25">
      <c r="A362" s="56">
        <v>17446.650000000001</v>
      </c>
      <c r="C362" s="56">
        <v>44787.4</v>
      </c>
      <c r="E362" s="57"/>
      <c r="G362" s="65">
        <v>44787.4</v>
      </c>
      <c r="J362" s="64">
        <v>3444755.35</v>
      </c>
      <c r="M362" s="67" t="s">
        <v>150</v>
      </c>
      <c r="N362" s="67" t="s">
        <v>50</v>
      </c>
      <c r="O362" s="64">
        <v>3444755.35</v>
      </c>
    </row>
    <row r="363" spans="1:15" ht="15.75" x14ac:dyDescent="0.25">
      <c r="A363" s="61">
        <v>897.75</v>
      </c>
      <c r="C363" s="56">
        <v>35392</v>
      </c>
      <c r="E363" s="56">
        <v>14445.6</v>
      </c>
      <c r="G363" s="65">
        <v>35392</v>
      </c>
      <c r="J363" s="64">
        <v>92185.2</v>
      </c>
      <c r="M363" s="67" t="s">
        <v>150</v>
      </c>
      <c r="N363" s="67" t="s">
        <v>50</v>
      </c>
      <c r="O363" s="64">
        <v>92185.2</v>
      </c>
    </row>
    <row r="364" spans="1:15" ht="15.75" x14ac:dyDescent="0.25">
      <c r="A364" s="56">
        <v>12765.6</v>
      </c>
      <c r="C364" s="58"/>
      <c r="E364" s="56">
        <v>1528.5</v>
      </c>
      <c r="G364" s="58"/>
      <c r="J364" s="64">
        <v>12564531.699999999</v>
      </c>
      <c r="M364" s="67" t="s">
        <v>150</v>
      </c>
      <c r="N364" s="67" t="s">
        <v>50</v>
      </c>
      <c r="O364" s="64">
        <v>12564531.699999999</v>
      </c>
    </row>
    <row r="365" spans="1:15" ht="15.75" x14ac:dyDescent="0.25">
      <c r="A365" s="56">
        <v>73979.899999999994</v>
      </c>
      <c r="C365" s="56">
        <v>1894.65</v>
      </c>
      <c r="E365" s="56">
        <v>47792</v>
      </c>
      <c r="G365" s="65">
        <v>1894.65</v>
      </c>
      <c r="J365" s="64">
        <v>308694.5</v>
      </c>
      <c r="M365" s="67" t="s">
        <v>150</v>
      </c>
      <c r="N365" s="67" t="s">
        <v>11</v>
      </c>
      <c r="O365" s="64">
        <v>308694.5</v>
      </c>
    </row>
    <row r="366" spans="1:15" ht="15.75" x14ac:dyDescent="0.25">
      <c r="A366" s="56">
        <v>10883.2</v>
      </c>
      <c r="C366" s="56">
        <v>2967.3</v>
      </c>
      <c r="E366" s="56">
        <v>331494</v>
      </c>
      <c r="G366" s="65">
        <v>2967.3</v>
      </c>
      <c r="J366" s="64">
        <v>191443</v>
      </c>
      <c r="M366" s="67" t="s">
        <v>150</v>
      </c>
      <c r="N366" s="67" t="s">
        <v>50</v>
      </c>
      <c r="O366" s="64">
        <v>191443</v>
      </c>
    </row>
    <row r="367" spans="1:15" ht="15.75" x14ac:dyDescent="0.25">
      <c r="A367" s="56">
        <v>26172</v>
      </c>
      <c r="C367" s="56">
        <v>56629.3</v>
      </c>
      <c r="E367" s="56">
        <v>78287</v>
      </c>
      <c r="G367" s="65">
        <v>56629.3</v>
      </c>
      <c r="J367" s="64">
        <v>228668.76</v>
      </c>
      <c r="M367" s="67" t="s">
        <v>150</v>
      </c>
      <c r="N367" s="67" t="s">
        <v>11</v>
      </c>
      <c r="O367" s="64">
        <v>228668.76</v>
      </c>
    </row>
    <row r="368" spans="1:15" ht="15.75" x14ac:dyDescent="0.25">
      <c r="A368" s="56">
        <v>5260.8</v>
      </c>
      <c r="C368" s="57"/>
      <c r="E368" s="57"/>
      <c r="G368" s="64">
        <v>162540.29999999999</v>
      </c>
      <c r="J368" s="64">
        <v>6397.5</v>
      </c>
      <c r="M368" s="67" t="s">
        <v>150</v>
      </c>
      <c r="N368" s="67" t="s">
        <v>11</v>
      </c>
      <c r="O368" s="64">
        <v>6397.5</v>
      </c>
    </row>
    <row r="369" spans="1:15" ht="15.75" x14ac:dyDescent="0.25">
      <c r="A369" s="56">
        <v>40965.300000000003</v>
      </c>
      <c r="C369" s="56">
        <v>219203.1</v>
      </c>
      <c r="E369" s="57"/>
      <c r="G369" s="65">
        <v>219203.1</v>
      </c>
      <c r="J369" s="64">
        <v>83008.5</v>
      </c>
      <c r="M369" s="67" t="s">
        <v>150</v>
      </c>
      <c r="N369" s="67" t="s">
        <v>50</v>
      </c>
      <c r="O369" s="64">
        <v>83008.5</v>
      </c>
    </row>
    <row r="370" spans="1:15" ht="15.75" x14ac:dyDescent="0.25">
      <c r="A370" s="56">
        <v>28289.25</v>
      </c>
      <c r="C370" s="58"/>
      <c r="E370" s="56">
        <v>103846.39999999999</v>
      </c>
      <c r="G370" s="58"/>
      <c r="J370" s="64">
        <v>227718.39999999999</v>
      </c>
      <c r="M370" s="67" t="s">
        <v>151</v>
      </c>
      <c r="N370" s="67" t="s">
        <v>50</v>
      </c>
      <c r="O370" s="64">
        <v>227718.39999999999</v>
      </c>
    </row>
    <row r="371" spans="1:15" ht="15.75" x14ac:dyDescent="0.25">
      <c r="A371" s="56">
        <v>10204.799999999999</v>
      </c>
      <c r="C371" s="56">
        <v>4161</v>
      </c>
      <c r="E371" s="56">
        <v>40208</v>
      </c>
      <c r="G371" s="65">
        <v>4161</v>
      </c>
      <c r="J371" s="64">
        <v>1974923.2</v>
      </c>
      <c r="M371" s="67" t="s">
        <v>152</v>
      </c>
      <c r="N371" s="67" t="s">
        <v>50</v>
      </c>
      <c r="O371" s="64">
        <v>1974923.2</v>
      </c>
    </row>
    <row r="372" spans="1:15" ht="15.75" x14ac:dyDescent="0.25">
      <c r="A372" s="56">
        <v>31906</v>
      </c>
      <c r="C372" s="58"/>
      <c r="E372" s="56">
        <v>13411.3</v>
      </c>
      <c r="G372" s="58"/>
      <c r="J372" s="64">
        <v>17904.86</v>
      </c>
      <c r="M372" s="67" t="s">
        <v>152</v>
      </c>
      <c r="N372" s="67" t="s">
        <v>50</v>
      </c>
      <c r="O372" s="64">
        <v>17904.86</v>
      </c>
    </row>
    <row r="373" spans="1:15" ht="15.75" x14ac:dyDescent="0.25">
      <c r="A373" s="56">
        <v>220340.25</v>
      </c>
      <c r="C373" s="56">
        <v>2078935.5</v>
      </c>
      <c r="E373" s="56">
        <v>29355</v>
      </c>
      <c r="G373" s="65">
        <v>2078935.5</v>
      </c>
      <c r="J373" s="64">
        <v>1864</v>
      </c>
      <c r="M373" s="67" t="s">
        <v>152</v>
      </c>
      <c r="N373" s="67" t="s">
        <v>50</v>
      </c>
      <c r="O373" s="64">
        <v>1864</v>
      </c>
    </row>
    <row r="374" spans="1:15" ht="15.75" x14ac:dyDescent="0.25">
      <c r="A374" s="58"/>
      <c r="C374" s="56">
        <v>41737.21</v>
      </c>
      <c r="E374" s="56">
        <v>43864.5</v>
      </c>
      <c r="G374" s="65">
        <v>41737.21</v>
      </c>
      <c r="J374" s="64">
        <v>48094.7</v>
      </c>
      <c r="M374" s="67" t="s">
        <v>153</v>
      </c>
      <c r="N374" s="67" t="s">
        <v>50</v>
      </c>
      <c r="O374" s="64">
        <v>48094.7</v>
      </c>
    </row>
    <row r="375" spans="1:15" ht="15.75" x14ac:dyDescent="0.25">
      <c r="A375" s="58"/>
      <c r="C375" s="57"/>
      <c r="E375" s="56">
        <v>87805.75</v>
      </c>
      <c r="G375" s="64">
        <v>140215.85999999999</v>
      </c>
      <c r="J375" s="64">
        <v>67890</v>
      </c>
      <c r="M375" s="67" t="s">
        <v>153</v>
      </c>
      <c r="N375" s="67" t="s">
        <v>11</v>
      </c>
      <c r="O375" s="64">
        <v>67890</v>
      </c>
    </row>
    <row r="376" spans="1:15" ht="15.75" x14ac:dyDescent="0.25">
      <c r="A376" s="56">
        <v>25142.400000000001</v>
      </c>
      <c r="C376" s="57"/>
      <c r="E376" s="56">
        <v>10834.2</v>
      </c>
      <c r="G376" s="64">
        <v>69275.199999999997</v>
      </c>
      <c r="J376" s="64">
        <v>89008</v>
      </c>
      <c r="M376" s="67" t="s">
        <v>153</v>
      </c>
      <c r="N376" s="67" t="s">
        <v>50</v>
      </c>
      <c r="O376" s="64">
        <v>89008</v>
      </c>
    </row>
    <row r="377" spans="1:15" ht="15.75" x14ac:dyDescent="0.25">
      <c r="A377" s="58"/>
      <c r="C377" s="57"/>
      <c r="E377" s="56">
        <v>14960</v>
      </c>
      <c r="G377" s="64">
        <v>40284.800000000003</v>
      </c>
      <c r="J377" s="64">
        <v>12294.88</v>
      </c>
      <c r="M377" s="67" t="s">
        <v>154</v>
      </c>
      <c r="N377" s="67" t="s">
        <v>50</v>
      </c>
      <c r="O377" s="64">
        <v>12294.88</v>
      </c>
    </row>
    <row r="378" spans="1:15" ht="15.75" x14ac:dyDescent="0.25">
      <c r="A378" s="58"/>
      <c r="C378" s="56">
        <v>50187.06</v>
      </c>
      <c r="E378" s="56">
        <v>10072.5</v>
      </c>
      <c r="G378" s="65">
        <v>50187.06</v>
      </c>
      <c r="J378" s="64">
        <v>56908.800000000003</v>
      </c>
      <c r="M378" s="67" t="s">
        <v>154</v>
      </c>
      <c r="N378" s="67" t="s">
        <v>50</v>
      </c>
      <c r="O378" s="64">
        <v>56908.800000000003</v>
      </c>
    </row>
    <row r="379" spans="1:15" ht="15.75" x14ac:dyDescent="0.25">
      <c r="A379" s="56">
        <v>382814.8</v>
      </c>
      <c r="C379" s="56">
        <v>156757.29999999999</v>
      </c>
      <c r="E379" s="57"/>
      <c r="G379" s="65">
        <v>156757.29999999999</v>
      </c>
      <c r="J379" s="64">
        <v>35568</v>
      </c>
      <c r="M379" s="67" t="s">
        <v>154</v>
      </c>
      <c r="N379" s="67" t="s">
        <v>50</v>
      </c>
      <c r="O379" s="64">
        <v>35568</v>
      </c>
    </row>
    <row r="380" spans="1:15" ht="15.75" x14ac:dyDescent="0.25">
      <c r="A380" s="56">
        <v>24043.200000000001</v>
      </c>
      <c r="C380" s="56">
        <v>12694.5</v>
      </c>
      <c r="E380" s="56">
        <v>13604</v>
      </c>
      <c r="G380" s="65">
        <v>12694.5</v>
      </c>
      <c r="J380" s="64">
        <v>436928.56</v>
      </c>
      <c r="M380" s="67" t="s">
        <v>154</v>
      </c>
      <c r="N380" s="67" t="s">
        <v>50</v>
      </c>
      <c r="O380" s="64">
        <v>436928.56</v>
      </c>
    </row>
    <row r="381" spans="1:15" ht="15.75" x14ac:dyDescent="0.25">
      <c r="A381" s="56">
        <v>87928.2</v>
      </c>
      <c r="C381" s="57"/>
      <c r="E381" s="56">
        <v>164701.29999999999</v>
      </c>
      <c r="G381" s="64">
        <v>16261</v>
      </c>
      <c r="J381" s="64">
        <v>74335.8</v>
      </c>
      <c r="M381" s="67" t="s">
        <v>154</v>
      </c>
      <c r="N381" s="67" t="s">
        <v>11</v>
      </c>
      <c r="O381" s="64">
        <v>74335.8</v>
      </c>
    </row>
    <row r="382" spans="1:15" ht="15.75" x14ac:dyDescent="0.25">
      <c r="A382" s="56">
        <v>47104.800000000003</v>
      </c>
      <c r="C382" s="57"/>
      <c r="E382" s="56">
        <v>94904</v>
      </c>
      <c r="G382" s="64">
        <v>31100.400000000001</v>
      </c>
      <c r="J382" s="64">
        <v>16666.400000000001</v>
      </c>
      <c r="M382" s="67" t="s">
        <v>154</v>
      </c>
      <c r="N382" s="67" t="s">
        <v>11</v>
      </c>
      <c r="O382" s="64">
        <v>16666.400000000001</v>
      </c>
    </row>
    <row r="383" spans="1:15" ht="15.75" x14ac:dyDescent="0.25">
      <c r="A383" s="56">
        <v>15984</v>
      </c>
      <c r="C383" s="56">
        <v>6184</v>
      </c>
      <c r="E383" s="56">
        <v>894326.07</v>
      </c>
      <c r="G383" s="65">
        <v>6184</v>
      </c>
      <c r="J383" s="64">
        <v>198630.56</v>
      </c>
      <c r="M383" s="67" t="s">
        <v>155</v>
      </c>
      <c r="N383" s="67" t="s">
        <v>50</v>
      </c>
      <c r="O383" s="64">
        <v>198630.56</v>
      </c>
    </row>
    <row r="384" spans="1:15" x14ac:dyDescent="0.25">
      <c r="A384" s="58"/>
      <c r="C384" s="57"/>
      <c r="E384" s="57"/>
      <c r="G384" s="64">
        <v>9590.68</v>
      </c>
      <c r="J384" s="64">
        <v>284452.5</v>
      </c>
      <c r="M384" s="67" t="s">
        <v>155</v>
      </c>
      <c r="N384" s="67" t="s">
        <v>11</v>
      </c>
      <c r="O384" s="64">
        <v>284452.5</v>
      </c>
    </row>
    <row r="385" spans="1:15" ht="15.75" x14ac:dyDescent="0.25">
      <c r="A385" s="56">
        <v>79430.399999999994</v>
      </c>
      <c r="C385" s="56">
        <v>11270</v>
      </c>
      <c r="E385" s="56">
        <v>236700</v>
      </c>
      <c r="G385" s="65">
        <v>11270</v>
      </c>
      <c r="J385" s="64">
        <v>83518.5</v>
      </c>
      <c r="M385" s="67" t="s">
        <v>155</v>
      </c>
      <c r="N385" s="67" t="s">
        <v>11</v>
      </c>
      <c r="O385" s="64">
        <v>83518.5</v>
      </c>
    </row>
    <row r="386" spans="1:15" ht="15.75" x14ac:dyDescent="0.25">
      <c r="A386" s="57"/>
      <c r="C386" s="56">
        <v>5089</v>
      </c>
      <c r="E386" s="57"/>
      <c r="G386" s="65">
        <v>5089</v>
      </c>
      <c r="J386" s="64">
        <v>88602</v>
      </c>
      <c r="M386" s="67" t="s">
        <v>155</v>
      </c>
      <c r="N386" s="67" t="s">
        <v>11</v>
      </c>
      <c r="O386" s="64">
        <v>88602</v>
      </c>
    </row>
    <row r="387" spans="1:15" ht="15.75" x14ac:dyDescent="0.25">
      <c r="A387" s="56">
        <v>36945</v>
      </c>
      <c r="C387" s="58"/>
      <c r="E387" s="56">
        <v>7277.2</v>
      </c>
      <c r="G387" s="58"/>
      <c r="J387" s="64">
        <v>54133.95</v>
      </c>
      <c r="M387" s="67" t="s">
        <v>155</v>
      </c>
      <c r="N387" s="67" t="s">
        <v>50</v>
      </c>
      <c r="O387" s="64">
        <v>54133.95</v>
      </c>
    </row>
    <row r="388" spans="1:15" ht="15.75" x14ac:dyDescent="0.25">
      <c r="A388" s="57"/>
      <c r="C388" s="57"/>
      <c r="E388" s="56">
        <v>67800</v>
      </c>
      <c r="G388" s="64">
        <v>34576.199999999997</v>
      </c>
      <c r="J388" s="64">
        <v>22995.63</v>
      </c>
      <c r="M388" s="67" t="s">
        <v>155</v>
      </c>
      <c r="N388" s="67" t="s">
        <v>50</v>
      </c>
      <c r="O388" s="64">
        <v>22995.63</v>
      </c>
    </row>
    <row r="389" spans="1:15" ht="15.75" x14ac:dyDescent="0.25">
      <c r="A389" s="56">
        <v>126093.75</v>
      </c>
      <c r="C389" s="57"/>
      <c r="E389" s="56">
        <v>270219.76</v>
      </c>
      <c r="G389" s="64">
        <v>129441</v>
      </c>
      <c r="J389" s="64">
        <v>89355.6</v>
      </c>
      <c r="M389" s="67" t="s">
        <v>155</v>
      </c>
      <c r="N389" s="67" t="s">
        <v>50</v>
      </c>
      <c r="O389" s="64">
        <v>89355.6</v>
      </c>
    </row>
    <row r="390" spans="1:15" ht="15.75" x14ac:dyDescent="0.25">
      <c r="A390" s="56">
        <v>5964.48</v>
      </c>
      <c r="C390" s="56">
        <v>106374.62</v>
      </c>
      <c r="E390" s="56">
        <v>30056</v>
      </c>
      <c r="G390" s="65">
        <v>106374.62</v>
      </c>
      <c r="J390" s="64">
        <v>412721.8</v>
      </c>
      <c r="M390" s="67" t="s">
        <v>156</v>
      </c>
      <c r="N390" s="67" t="s">
        <v>50</v>
      </c>
      <c r="O390" s="64">
        <v>412721.8</v>
      </c>
    </row>
    <row r="391" spans="1:15" ht="15.75" x14ac:dyDescent="0.25">
      <c r="A391" s="58"/>
      <c r="C391" s="56">
        <v>11578</v>
      </c>
      <c r="E391" s="56">
        <v>101249.55</v>
      </c>
      <c r="G391" s="65">
        <v>11578</v>
      </c>
      <c r="J391" s="64">
        <v>412414.2</v>
      </c>
      <c r="M391" s="67" t="s">
        <v>156</v>
      </c>
      <c r="N391" s="67" t="s">
        <v>50</v>
      </c>
      <c r="O391" s="64">
        <v>412414.2</v>
      </c>
    </row>
    <row r="392" spans="1:15" ht="15.75" x14ac:dyDescent="0.25">
      <c r="A392" s="56">
        <v>909713.16</v>
      </c>
      <c r="C392" s="58"/>
      <c r="E392" s="56">
        <v>2424.1999999999998</v>
      </c>
      <c r="G392" s="58"/>
      <c r="J392" s="64">
        <v>797245</v>
      </c>
      <c r="M392" s="67" t="s">
        <v>157</v>
      </c>
      <c r="N392" s="67" t="s">
        <v>50</v>
      </c>
      <c r="O392" s="64">
        <v>797245</v>
      </c>
    </row>
    <row r="393" spans="1:15" ht="15.75" x14ac:dyDescent="0.25">
      <c r="A393" s="57"/>
      <c r="C393" s="58"/>
      <c r="E393" s="56">
        <v>11104.2</v>
      </c>
      <c r="G393" s="58"/>
      <c r="J393" s="64">
        <v>44925</v>
      </c>
      <c r="M393" s="67" t="s">
        <v>158</v>
      </c>
      <c r="N393" s="67" t="s">
        <v>11</v>
      </c>
      <c r="O393" s="64">
        <v>44925</v>
      </c>
    </row>
    <row r="394" spans="1:15" ht="15.75" x14ac:dyDescent="0.25">
      <c r="A394" s="56">
        <v>5009.92</v>
      </c>
      <c r="C394" s="56">
        <v>1281274.54</v>
      </c>
      <c r="E394" s="56">
        <v>64869.599999999999</v>
      </c>
      <c r="G394" s="65">
        <v>1271483.54</v>
      </c>
      <c r="J394" s="64">
        <v>2169984.06</v>
      </c>
      <c r="M394" s="67" t="s">
        <v>158</v>
      </c>
      <c r="N394" s="67" t="s">
        <v>50</v>
      </c>
      <c r="O394" s="64">
        <v>2169984.06</v>
      </c>
    </row>
    <row r="395" spans="1:15" ht="15.75" x14ac:dyDescent="0.25">
      <c r="A395" s="56">
        <v>3507.2</v>
      </c>
      <c r="C395" s="57"/>
      <c r="E395" s="56">
        <v>955009.86</v>
      </c>
      <c r="G395" s="64">
        <v>141150.6</v>
      </c>
      <c r="J395" s="64">
        <v>474660</v>
      </c>
      <c r="M395" s="67" t="s">
        <v>158</v>
      </c>
      <c r="N395" s="67" t="s">
        <v>50</v>
      </c>
      <c r="O395" s="64">
        <v>474660</v>
      </c>
    </row>
    <row r="396" spans="1:15" ht="15.75" x14ac:dyDescent="0.25">
      <c r="A396" s="56">
        <v>6681.92</v>
      </c>
      <c r="C396" s="57"/>
      <c r="E396" s="56">
        <v>1720.64</v>
      </c>
      <c r="G396" s="64">
        <v>1939661.7</v>
      </c>
      <c r="J396" s="64">
        <v>510634</v>
      </c>
      <c r="M396" s="67" t="s">
        <v>158</v>
      </c>
      <c r="N396" s="67" t="s">
        <v>50</v>
      </c>
      <c r="O396" s="64">
        <v>510634</v>
      </c>
    </row>
    <row r="397" spans="1:15" ht="15.75" x14ac:dyDescent="0.25">
      <c r="A397" s="56">
        <v>139326.5</v>
      </c>
      <c r="C397" s="56">
        <v>13247.25</v>
      </c>
      <c r="E397" s="56">
        <v>146666.66</v>
      </c>
      <c r="G397" s="65">
        <v>13247.25</v>
      </c>
      <c r="J397" s="64">
        <v>1044521.8</v>
      </c>
      <c r="M397" s="67" t="s">
        <v>159</v>
      </c>
      <c r="N397" s="67" t="s">
        <v>50</v>
      </c>
      <c r="O397" s="64">
        <v>1044521.8</v>
      </c>
    </row>
    <row r="398" spans="1:15" ht="15.75" x14ac:dyDescent="0.25">
      <c r="A398" s="56">
        <v>9222.75</v>
      </c>
      <c r="C398" s="57"/>
      <c r="E398" s="57"/>
      <c r="G398" s="64">
        <v>198577.8</v>
      </c>
      <c r="J398" s="64">
        <v>18872</v>
      </c>
      <c r="M398" s="67" t="s">
        <v>159</v>
      </c>
      <c r="N398" s="67" t="s">
        <v>50</v>
      </c>
      <c r="O398" s="64">
        <v>18872</v>
      </c>
    </row>
    <row r="399" spans="1:15" ht="15.75" x14ac:dyDescent="0.25">
      <c r="A399" s="56">
        <v>42406.7</v>
      </c>
      <c r="C399" s="58"/>
      <c r="E399" s="57"/>
      <c r="G399" s="58"/>
      <c r="J399" s="64">
        <v>36364</v>
      </c>
      <c r="M399" s="67" t="s">
        <v>159</v>
      </c>
      <c r="N399" s="67" t="s">
        <v>50</v>
      </c>
      <c r="O399" s="64">
        <v>36364</v>
      </c>
    </row>
    <row r="400" spans="1:15" ht="15.75" x14ac:dyDescent="0.25">
      <c r="A400" s="60"/>
      <c r="C400" s="56">
        <v>39672</v>
      </c>
      <c r="E400" s="56">
        <v>238856</v>
      </c>
      <c r="G400" s="65">
        <v>39672</v>
      </c>
      <c r="J400" s="64">
        <v>70653.240000000005</v>
      </c>
      <c r="M400" s="67" t="s">
        <v>159</v>
      </c>
      <c r="N400" s="67" t="s">
        <v>50</v>
      </c>
      <c r="O400" s="64">
        <v>70653.240000000005</v>
      </c>
    </row>
    <row r="401" spans="1:15" ht="15.75" x14ac:dyDescent="0.25">
      <c r="A401" s="56">
        <v>110089.60000000001</v>
      </c>
      <c r="C401" s="56">
        <v>256988.9</v>
      </c>
      <c r="E401" s="56">
        <v>265496.40000000002</v>
      </c>
      <c r="G401" s="65">
        <v>256988.9</v>
      </c>
      <c r="J401" s="64">
        <v>105792.73</v>
      </c>
      <c r="M401" s="67" t="s">
        <v>159</v>
      </c>
      <c r="N401" s="67" t="s">
        <v>11</v>
      </c>
      <c r="O401" s="64">
        <v>105792.73</v>
      </c>
    </row>
    <row r="402" spans="1:15" ht="15.75" x14ac:dyDescent="0.25">
      <c r="A402" s="58"/>
      <c r="C402" s="56">
        <v>10058.1</v>
      </c>
      <c r="E402" s="57"/>
      <c r="G402" s="65">
        <v>10058.1</v>
      </c>
      <c r="J402" s="64">
        <v>107655.75</v>
      </c>
      <c r="M402" s="67" t="s">
        <v>159</v>
      </c>
      <c r="N402" s="67" t="s">
        <v>50</v>
      </c>
      <c r="O402" s="64">
        <v>107655.75</v>
      </c>
    </row>
    <row r="403" spans="1:15" ht="15.75" x14ac:dyDescent="0.25">
      <c r="A403" s="56">
        <v>95581.4</v>
      </c>
      <c r="C403" s="57"/>
      <c r="E403" s="57"/>
      <c r="G403" s="64">
        <v>131241.60000000001</v>
      </c>
      <c r="J403" s="64">
        <v>87866.43</v>
      </c>
      <c r="M403" s="67" t="s">
        <v>159</v>
      </c>
      <c r="N403" s="67" t="s">
        <v>11</v>
      </c>
      <c r="O403" s="64">
        <v>87866.43</v>
      </c>
    </row>
    <row r="404" spans="1:15" ht="15.75" x14ac:dyDescent="0.25">
      <c r="A404" s="56">
        <v>11368.7</v>
      </c>
      <c r="C404" s="57"/>
      <c r="E404" s="56">
        <v>40508</v>
      </c>
      <c r="G404" s="64">
        <v>1179008</v>
      </c>
      <c r="J404" s="64">
        <v>18032</v>
      </c>
      <c r="M404" s="67" t="s">
        <v>159</v>
      </c>
      <c r="N404" s="67" t="s">
        <v>50</v>
      </c>
      <c r="O404" s="64">
        <v>18032</v>
      </c>
    </row>
    <row r="405" spans="1:15" ht="15.75" x14ac:dyDescent="0.25">
      <c r="A405" s="56">
        <v>12515.68</v>
      </c>
      <c r="C405" s="56">
        <v>1308577.1000000001</v>
      </c>
      <c r="E405" s="56">
        <v>111664.5</v>
      </c>
      <c r="G405" s="65">
        <v>1308577.1000000001</v>
      </c>
      <c r="J405" s="64">
        <v>778199</v>
      </c>
      <c r="M405" s="67" t="s">
        <v>160</v>
      </c>
      <c r="N405" s="67" t="s">
        <v>50</v>
      </c>
      <c r="O405" s="64">
        <v>778199</v>
      </c>
    </row>
    <row r="406" spans="1:15" ht="15.75" x14ac:dyDescent="0.25">
      <c r="A406" s="56">
        <v>40296</v>
      </c>
      <c r="C406" s="56">
        <v>1131694.6000000001</v>
      </c>
      <c r="E406" s="56">
        <v>90560</v>
      </c>
      <c r="G406" s="65">
        <v>1131694.6000000001</v>
      </c>
      <c r="J406" s="64">
        <v>14640.64</v>
      </c>
      <c r="M406" s="67" t="s">
        <v>160</v>
      </c>
      <c r="N406" s="67" t="s">
        <v>11</v>
      </c>
      <c r="O406" s="64">
        <v>14640.64</v>
      </c>
    </row>
    <row r="407" spans="1:15" ht="15.75" x14ac:dyDescent="0.25">
      <c r="A407" s="56">
        <v>12453.75</v>
      </c>
      <c r="C407" s="56">
        <v>72232.98</v>
      </c>
      <c r="E407" s="56">
        <v>408116.25</v>
      </c>
      <c r="G407" s="65">
        <v>72232.98</v>
      </c>
      <c r="J407" s="64">
        <v>1119375.92</v>
      </c>
      <c r="M407" s="67" t="s">
        <v>160</v>
      </c>
      <c r="N407" s="67" t="s">
        <v>11</v>
      </c>
      <c r="O407" s="64">
        <v>1119375.92</v>
      </c>
    </row>
    <row r="408" spans="1:15" ht="15.75" x14ac:dyDescent="0.25">
      <c r="A408" s="56">
        <v>27135</v>
      </c>
      <c r="C408" s="58"/>
      <c r="E408" s="56">
        <v>166013</v>
      </c>
      <c r="G408" s="58"/>
      <c r="J408" s="64">
        <v>11900</v>
      </c>
      <c r="M408" s="67" t="s">
        <v>160</v>
      </c>
      <c r="N408" s="67" t="s">
        <v>50</v>
      </c>
      <c r="O408" s="64">
        <v>11900</v>
      </c>
    </row>
    <row r="409" spans="1:15" ht="15.75" x14ac:dyDescent="0.25">
      <c r="A409" s="56">
        <v>31024.5</v>
      </c>
      <c r="C409" s="56">
        <v>5076.75</v>
      </c>
      <c r="E409" s="56">
        <v>63333.84</v>
      </c>
      <c r="G409" s="65">
        <v>5076.75</v>
      </c>
      <c r="J409" s="64">
        <v>403431.5</v>
      </c>
      <c r="M409" s="67" t="s">
        <v>161</v>
      </c>
      <c r="N409" s="67" t="s">
        <v>50</v>
      </c>
      <c r="O409" s="64">
        <v>403431.5</v>
      </c>
    </row>
    <row r="410" spans="1:15" ht="15.75" x14ac:dyDescent="0.25">
      <c r="A410" s="56">
        <v>13765.5</v>
      </c>
      <c r="C410" s="57"/>
      <c r="E410" s="56">
        <v>90744</v>
      </c>
      <c r="G410" s="64">
        <v>13796.28</v>
      </c>
      <c r="J410" s="64">
        <v>109091.16</v>
      </c>
      <c r="M410" s="67" t="s">
        <v>161</v>
      </c>
      <c r="N410" s="67" t="s">
        <v>11</v>
      </c>
      <c r="O410" s="64">
        <v>109091.16</v>
      </c>
    </row>
    <row r="411" spans="1:15" ht="15.75" x14ac:dyDescent="0.25">
      <c r="A411" s="56">
        <v>2388</v>
      </c>
      <c r="C411" s="57"/>
      <c r="E411" s="57"/>
      <c r="G411" s="64">
        <v>29374.1</v>
      </c>
      <c r="J411" s="64">
        <v>5020</v>
      </c>
      <c r="M411" s="67" t="s">
        <v>161</v>
      </c>
      <c r="N411" s="67" t="s">
        <v>50</v>
      </c>
      <c r="O411" s="64">
        <v>5020</v>
      </c>
    </row>
    <row r="412" spans="1:15" ht="15.75" x14ac:dyDescent="0.25">
      <c r="A412" s="56">
        <v>325838.95</v>
      </c>
      <c r="C412" s="56">
        <v>4503</v>
      </c>
      <c r="E412" s="57"/>
      <c r="G412" s="65">
        <v>4503</v>
      </c>
      <c r="J412" s="64">
        <v>814097</v>
      </c>
      <c r="M412" s="67" t="s">
        <v>161</v>
      </c>
      <c r="N412" s="67" t="s">
        <v>50</v>
      </c>
      <c r="O412" s="64">
        <v>814097</v>
      </c>
    </row>
    <row r="413" spans="1:15" ht="15.75" x14ac:dyDescent="0.25">
      <c r="A413" s="56">
        <v>14328</v>
      </c>
      <c r="C413" s="56">
        <v>12838</v>
      </c>
      <c r="E413" s="56">
        <v>1416776</v>
      </c>
      <c r="G413" s="65">
        <v>12838</v>
      </c>
      <c r="J413" s="64">
        <v>15245.6</v>
      </c>
      <c r="M413" s="67" t="s">
        <v>162</v>
      </c>
      <c r="N413" s="67" t="s">
        <v>50</v>
      </c>
      <c r="O413" s="64">
        <v>15245.6</v>
      </c>
    </row>
    <row r="414" spans="1:15" ht="15.75" x14ac:dyDescent="0.25">
      <c r="A414" s="58"/>
      <c r="C414" s="58"/>
      <c r="E414" s="56">
        <v>22763.52</v>
      </c>
      <c r="G414" s="58"/>
      <c r="J414" s="64">
        <v>41868.400000000001</v>
      </c>
      <c r="M414" s="67" t="s">
        <v>162</v>
      </c>
      <c r="N414" s="67" t="s">
        <v>50</v>
      </c>
      <c r="O414" s="64">
        <v>41868.400000000001</v>
      </c>
    </row>
    <row r="415" spans="1:15" ht="15.75" x14ac:dyDescent="0.25">
      <c r="A415" s="56">
        <v>9410.4</v>
      </c>
      <c r="C415" s="56">
        <v>160030.5</v>
      </c>
      <c r="E415" s="57"/>
      <c r="G415" s="65">
        <v>160030.5</v>
      </c>
      <c r="J415" s="64">
        <v>185978.6</v>
      </c>
      <c r="M415" s="67" t="s">
        <v>162</v>
      </c>
      <c r="N415" s="67" t="s">
        <v>50</v>
      </c>
      <c r="O415" s="64">
        <v>185978.6</v>
      </c>
    </row>
    <row r="416" spans="1:15" ht="15.75" x14ac:dyDescent="0.25">
      <c r="A416" s="56">
        <v>12369.75</v>
      </c>
      <c r="C416" s="56">
        <v>8492.4</v>
      </c>
      <c r="E416" s="56">
        <v>360553.5</v>
      </c>
      <c r="G416" s="65">
        <v>8492.4</v>
      </c>
      <c r="J416" s="64">
        <v>28876.2</v>
      </c>
      <c r="M416" s="67" t="s">
        <v>162</v>
      </c>
      <c r="N416" s="67" t="s">
        <v>50</v>
      </c>
      <c r="O416" s="64">
        <v>28876.2</v>
      </c>
    </row>
    <row r="417" spans="1:15" ht="15.75" x14ac:dyDescent="0.25">
      <c r="A417" s="56">
        <v>26454</v>
      </c>
      <c r="C417" s="56">
        <v>8492.4</v>
      </c>
      <c r="E417" s="56">
        <v>2128.8000000000002</v>
      </c>
      <c r="G417" s="65">
        <v>8492.4</v>
      </c>
      <c r="J417" s="64">
        <v>830722</v>
      </c>
      <c r="M417" s="67" t="s">
        <v>162</v>
      </c>
      <c r="N417" s="67" t="s">
        <v>50</v>
      </c>
      <c r="O417" s="64">
        <v>830722</v>
      </c>
    </row>
    <row r="418" spans="1:15" ht="15.75" x14ac:dyDescent="0.25">
      <c r="A418" s="56">
        <v>10776.5</v>
      </c>
      <c r="C418" s="58"/>
      <c r="E418" s="56">
        <v>42163.28</v>
      </c>
      <c r="G418" s="58"/>
      <c r="J418" s="64">
        <v>4144117.38</v>
      </c>
      <c r="M418" s="67" t="s">
        <v>163</v>
      </c>
      <c r="N418" s="67" t="s">
        <v>50</v>
      </c>
      <c r="O418" s="64">
        <v>4144117.38</v>
      </c>
    </row>
    <row r="419" spans="1:15" ht="15.75" x14ac:dyDescent="0.25">
      <c r="A419" s="56">
        <v>331686</v>
      </c>
      <c r="C419" s="56">
        <v>39541.599999999999</v>
      </c>
      <c r="E419" s="57"/>
      <c r="G419" s="65">
        <v>39541.599999999999</v>
      </c>
      <c r="J419" s="64">
        <v>47273.16</v>
      </c>
      <c r="M419" s="67" t="s">
        <v>163</v>
      </c>
      <c r="N419" s="67" t="s">
        <v>50</v>
      </c>
      <c r="O419" s="64">
        <v>47273.16</v>
      </c>
    </row>
    <row r="420" spans="1:15" ht="15.75" x14ac:dyDescent="0.25">
      <c r="A420" s="56">
        <v>198026.35</v>
      </c>
      <c r="C420" s="57"/>
      <c r="E420" s="57"/>
      <c r="G420" s="64">
        <v>6975.1</v>
      </c>
      <c r="J420" s="64">
        <v>38248.720000000001</v>
      </c>
      <c r="M420" s="67" t="s">
        <v>163</v>
      </c>
      <c r="N420" s="67" t="s">
        <v>11</v>
      </c>
      <c r="O420" s="64">
        <v>38248.720000000001</v>
      </c>
    </row>
    <row r="421" spans="1:15" x14ac:dyDescent="0.25">
      <c r="A421" s="58"/>
      <c r="C421" s="57"/>
      <c r="E421" s="57"/>
      <c r="G421" s="64">
        <v>14904</v>
      </c>
      <c r="J421" s="64">
        <v>86937.52</v>
      </c>
      <c r="M421" s="67" t="s">
        <v>163</v>
      </c>
      <c r="N421" s="67" t="s">
        <v>50</v>
      </c>
      <c r="O421" s="64">
        <v>86937.52</v>
      </c>
    </row>
    <row r="422" spans="1:15" ht="15.75" x14ac:dyDescent="0.25">
      <c r="A422" s="56">
        <v>16084.8</v>
      </c>
      <c r="C422" s="57"/>
      <c r="E422" s="57"/>
      <c r="G422" s="64">
        <v>12203.45</v>
      </c>
      <c r="J422" s="64">
        <v>3520104</v>
      </c>
      <c r="M422" s="67" t="s">
        <v>164</v>
      </c>
      <c r="N422" s="67" t="s">
        <v>50</v>
      </c>
      <c r="O422" s="64">
        <v>3520104</v>
      </c>
    </row>
    <row r="423" spans="1:15" ht="15.75" x14ac:dyDescent="0.25">
      <c r="A423" s="56">
        <v>40833</v>
      </c>
      <c r="C423" s="56">
        <v>359058</v>
      </c>
      <c r="E423" s="56">
        <v>143705.25</v>
      </c>
      <c r="G423" s="65">
        <v>359058</v>
      </c>
      <c r="J423" s="64">
        <v>234457.51</v>
      </c>
      <c r="M423" s="67" t="s">
        <v>164</v>
      </c>
      <c r="N423" s="67" t="s">
        <v>50</v>
      </c>
      <c r="O423" s="64">
        <v>234457.51</v>
      </c>
    </row>
    <row r="424" spans="1:15" ht="15.75" x14ac:dyDescent="0.25">
      <c r="A424" s="56">
        <v>38106</v>
      </c>
      <c r="C424" s="58"/>
      <c r="E424" s="57"/>
      <c r="G424" s="58"/>
      <c r="J424" s="64">
        <v>4187786.49</v>
      </c>
      <c r="M424" s="67" t="s">
        <v>164</v>
      </c>
      <c r="N424" s="67" t="s">
        <v>50</v>
      </c>
      <c r="O424" s="64">
        <v>4187786.49</v>
      </c>
    </row>
    <row r="425" spans="1:15" ht="15.75" x14ac:dyDescent="0.25">
      <c r="A425" s="56">
        <v>7844.4</v>
      </c>
      <c r="C425" s="56">
        <v>3392</v>
      </c>
      <c r="E425" s="58"/>
      <c r="G425" s="65">
        <v>3392</v>
      </c>
      <c r="J425" s="64">
        <v>2157646</v>
      </c>
      <c r="M425" s="67" t="s">
        <v>164</v>
      </c>
      <c r="N425" s="67" t="s">
        <v>50</v>
      </c>
      <c r="O425" s="64">
        <v>2157646</v>
      </c>
    </row>
    <row r="426" spans="1:15" ht="15.75" x14ac:dyDescent="0.25">
      <c r="A426" s="58"/>
      <c r="C426" s="57"/>
      <c r="E426" s="56">
        <v>18124.8</v>
      </c>
      <c r="G426" s="64">
        <v>45652.5</v>
      </c>
      <c r="J426" s="64">
        <v>215191.4</v>
      </c>
      <c r="M426" s="67" t="s">
        <v>164</v>
      </c>
      <c r="N426" s="67" t="s">
        <v>11</v>
      </c>
      <c r="O426" s="64">
        <v>215191.4</v>
      </c>
    </row>
    <row r="427" spans="1:15" ht="15.75" x14ac:dyDescent="0.25">
      <c r="A427" s="56">
        <v>69487.5</v>
      </c>
      <c r="C427" s="56">
        <v>3529.4</v>
      </c>
      <c r="E427" s="57"/>
      <c r="G427" s="65">
        <v>3529.4</v>
      </c>
      <c r="J427" s="64">
        <v>780546</v>
      </c>
      <c r="M427" s="67" t="s">
        <v>164</v>
      </c>
      <c r="N427" s="67" t="s">
        <v>50</v>
      </c>
      <c r="O427" s="64">
        <v>780546</v>
      </c>
    </row>
    <row r="428" spans="1:15" ht="15.75" x14ac:dyDescent="0.25">
      <c r="A428" s="56">
        <v>126921</v>
      </c>
      <c r="C428" s="56">
        <v>40473.599999999999</v>
      </c>
      <c r="E428" s="56">
        <v>135494.25</v>
      </c>
      <c r="G428" s="65">
        <v>40473.599999999999</v>
      </c>
      <c r="J428" s="64">
        <v>235587.08</v>
      </c>
      <c r="M428" s="67" t="s">
        <v>164</v>
      </c>
      <c r="N428" s="67" t="s">
        <v>50</v>
      </c>
      <c r="O428" s="64">
        <v>235587.08</v>
      </c>
    </row>
    <row r="429" spans="1:15" ht="15.75" x14ac:dyDescent="0.25">
      <c r="A429" s="58"/>
      <c r="C429" s="56">
        <v>11428.48</v>
      </c>
      <c r="E429" s="56">
        <v>391335.5</v>
      </c>
      <c r="G429" s="65">
        <v>11428.48</v>
      </c>
      <c r="J429" s="64">
        <v>56795</v>
      </c>
      <c r="M429" s="67" t="s">
        <v>165</v>
      </c>
      <c r="N429" s="67" t="s">
        <v>50</v>
      </c>
      <c r="O429" s="64">
        <v>56795</v>
      </c>
    </row>
    <row r="430" spans="1:15" ht="15.75" x14ac:dyDescent="0.25">
      <c r="A430" s="56">
        <v>32703.45</v>
      </c>
      <c r="C430" s="56">
        <v>33089.72</v>
      </c>
      <c r="E430" s="56">
        <v>8724</v>
      </c>
      <c r="G430" s="65">
        <v>33089.72</v>
      </c>
      <c r="J430" s="64">
        <v>125868</v>
      </c>
      <c r="M430" s="67" t="s">
        <v>165</v>
      </c>
      <c r="N430" s="67" t="s">
        <v>50</v>
      </c>
      <c r="O430" s="64">
        <v>125868</v>
      </c>
    </row>
    <row r="431" spans="1:15" ht="15.75" x14ac:dyDescent="0.25">
      <c r="A431" s="56">
        <v>18609.599999999999</v>
      </c>
      <c r="C431" s="56">
        <v>74822.64</v>
      </c>
      <c r="E431" s="56">
        <v>105551.25</v>
      </c>
      <c r="G431" s="65">
        <v>74822.64</v>
      </c>
      <c r="J431" s="64">
        <v>83912</v>
      </c>
      <c r="M431" s="67" t="s">
        <v>165</v>
      </c>
      <c r="N431" s="67" t="s">
        <v>50</v>
      </c>
      <c r="O431" s="64">
        <v>83912</v>
      </c>
    </row>
    <row r="432" spans="1:15" ht="15.75" x14ac:dyDescent="0.25">
      <c r="A432" s="58"/>
      <c r="C432" s="56">
        <v>25598.959999999999</v>
      </c>
      <c r="E432" s="56">
        <v>83447.25</v>
      </c>
      <c r="G432" s="65">
        <v>25598.959999999999</v>
      </c>
      <c r="J432" s="64">
        <v>67017</v>
      </c>
      <c r="M432" s="67" t="s">
        <v>165</v>
      </c>
      <c r="N432" s="67" t="s">
        <v>50</v>
      </c>
      <c r="O432" s="64">
        <v>67017</v>
      </c>
    </row>
    <row r="433" spans="1:15" ht="15.75" x14ac:dyDescent="0.25">
      <c r="A433" s="56">
        <v>68382.929999999993</v>
      </c>
      <c r="C433" s="56">
        <v>133013.51999999999</v>
      </c>
      <c r="E433" s="56">
        <v>196871.22</v>
      </c>
      <c r="G433" s="65">
        <v>133013.51999999999</v>
      </c>
      <c r="J433" s="64">
        <v>1012723.22</v>
      </c>
      <c r="M433" s="67" t="s">
        <v>166</v>
      </c>
      <c r="N433" s="67" t="s">
        <v>11</v>
      </c>
      <c r="O433" s="64">
        <v>1012723.22</v>
      </c>
    </row>
    <row r="434" spans="1:15" ht="15.75" x14ac:dyDescent="0.25">
      <c r="A434" s="58"/>
      <c r="C434" s="56">
        <v>18080.64</v>
      </c>
      <c r="E434" s="56">
        <v>12563.2</v>
      </c>
      <c r="G434" s="65">
        <v>18080.64</v>
      </c>
      <c r="J434" s="64">
        <v>7685.7</v>
      </c>
      <c r="M434" s="67" t="s">
        <v>166</v>
      </c>
      <c r="N434" s="67" t="s">
        <v>50</v>
      </c>
      <c r="O434" s="64">
        <v>7685.7</v>
      </c>
    </row>
    <row r="435" spans="1:15" ht="15.75" x14ac:dyDescent="0.25">
      <c r="A435" s="56">
        <v>10556.65</v>
      </c>
      <c r="C435" s="56">
        <v>26851.96</v>
      </c>
      <c r="E435" s="56">
        <v>25178.25</v>
      </c>
      <c r="G435" s="65">
        <v>26851.96</v>
      </c>
      <c r="J435" s="64">
        <v>3921.05</v>
      </c>
      <c r="M435" s="67" t="s">
        <v>166</v>
      </c>
      <c r="N435" s="67" t="s">
        <v>50</v>
      </c>
      <c r="O435" s="64">
        <v>3921.05</v>
      </c>
    </row>
    <row r="436" spans="1:15" ht="15.75" x14ac:dyDescent="0.25">
      <c r="A436" s="56">
        <v>46582</v>
      </c>
      <c r="C436" s="56">
        <v>133233.79999999999</v>
      </c>
      <c r="E436" s="57"/>
      <c r="G436" s="65">
        <v>133233.79999999999</v>
      </c>
      <c r="J436" s="64">
        <v>448042.5</v>
      </c>
      <c r="M436" s="67" t="s">
        <v>166</v>
      </c>
      <c r="N436" s="67" t="s">
        <v>50</v>
      </c>
      <c r="O436" s="64">
        <v>448042.5</v>
      </c>
    </row>
    <row r="437" spans="1:15" ht="15.75" x14ac:dyDescent="0.25">
      <c r="A437" s="56">
        <v>20529</v>
      </c>
      <c r="C437" s="58"/>
      <c r="E437" s="56">
        <v>29056</v>
      </c>
      <c r="G437" s="58"/>
      <c r="J437" s="64">
        <v>215937</v>
      </c>
      <c r="M437" s="67" t="s">
        <v>167</v>
      </c>
      <c r="N437" s="67" t="s">
        <v>50</v>
      </c>
      <c r="O437" s="64">
        <v>215937</v>
      </c>
    </row>
    <row r="438" spans="1:15" ht="15.75" x14ac:dyDescent="0.25">
      <c r="A438" s="56">
        <v>18538.5</v>
      </c>
      <c r="C438" s="56">
        <v>33867.64</v>
      </c>
      <c r="E438" s="56">
        <v>44266.5</v>
      </c>
      <c r="G438" s="65">
        <v>33867.64</v>
      </c>
      <c r="J438" s="64">
        <v>278973</v>
      </c>
      <c r="M438" s="67" t="s">
        <v>167</v>
      </c>
      <c r="N438" s="67" t="s">
        <v>50</v>
      </c>
      <c r="O438" s="64">
        <v>278973</v>
      </c>
    </row>
    <row r="439" spans="1:15" ht="15.75" x14ac:dyDescent="0.25">
      <c r="A439" s="58"/>
      <c r="C439" s="56">
        <v>129218.44</v>
      </c>
      <c r="E439" s="56">
        <v>4274.28</v>
      </c>
      <c r="G439" s="65">
        <v>129218.44</v>
      </c>
      <c r="J439" s="64">
        <v>73636</v>
      </c>
      <c r="M439" s="67" t="s">
        <v>167</v>
      </c>
      <c r="N439" s="67" t="s">
        <v>50</v>
      </c>
      <c r="O439" s="64">
        <v>73636</v>
      </c>
    </row>
    <row r="440" spans="1:15" ht="15.75" x14ac:dyDescent="0.25">
      <c r="A440" s="58"/>
      <c r="C440" s="56">
        <v>11447.84</v>
      </c>
      <c r="E440" s="56">
        <v>7609.6</v>
      </c>
      <c r="G440" s="65">
        <v>10228.24</v>
      </c>
      <c r="J440" s="64">
        <v>294892</v>
      </c>
      <c r="M440" s="67" t="s">
        <v>168</v>
      </c>
      <c r="N440" s="67" t="s">
        <v>50</v>
      </c>
      <c r="O440" s="64">
        <v>294892</v>
      </c>
    </row>
    <row r="441" spans="1:15" ht="15.75" x14ac:dyDescent="0.25">
      <c r="A441" s="59" t="s">
        <v>9</v>
      </c>
      <c r="C441" s="56">
        <v>34950.199999999997</v>
      </c>
      <c r="E441" s="56">
        <v>205319</v>
      </c>
      <c r="G441" s="65">
        <v>34950.199999999997</v>
      </c>
      <c r="J441" s="64">
        <v>84865</v>
      </c>
      <c r="M441" s="67" t="s">
        <v>168</v>
      </c>
      <c r="N441" s="67" t="s">
        <v>50</v>
      </c>
      <c r="O441" s="64">
        <v>84865</v>
      </c>
    </row>
    <row r="442" spans="1:15" ht="15.75" x14ac:dyDescent="0.25">
      <c r="A442" s="56">
        <v>27450</v>
      </c>
      <c r="C442" s="56">
        <v>15801.28</v>
      </c>
      <c r="E442" s="56">
        <v>40588.800000000003</v>
      </c>
      <c r="G442" s="65">
        <v>15801.28</v>
      </c>
      <c r="J442" s="64">
        <v>54408.19</v>
      </c>
      <c r="M442" s="67" t="s">
        <v>168</v>
      </c>
      <c r="N442" s="67" t="s">
        <v>11</v>
      </c>
      <c r="O442" s="64">
        <v>54408.19</v>
      </c>
    </row>
    <row r="443" spans="1:15" ht="15.75" x14ac:dyDescent="0.25">
      <c r="A443" s="56">
        <v>7227.6</v>
      </c>
      <c r="C443" s="56">
        <v>26341.599999999999</v>
      </c>
      <c r="E443" s="56">
        <v>2455.1999999999998</v>
      </c>
      <c r="G443" s="65">
        <v>26341.599999999999</v>
      </c>
      <c r="J443" s="64">
        <v>16115.8</v>
      </c>
      <c r="M443" s="67" t="s">
        <v>169</v>
      </c>
      <c r="N443" s="67" t="s">
        <v>11</v>
      </c>
      <c r="O443" s="64">
        <v>16115.8</v>
      </c>
    </row>
    <row r="444" spans="1:15" ht="15.75" x14ac:dyDescent="0.25">
      <c r="A444" s="56">
        <v>18276.48</v>
      </c>
      <c r="C444" s="56">
        <v>127033.5</v>
      </c>
      <c r="E444" s="56">
        <v>88411.5</v>
      </c>
      <c r="G444" s="65">
        <v>127033.5</v>
      </c>
      <c r="J444" s="64">
        <v>130664</v>
      </c>
      <c r="M444" s="67" t="s">
        <v>169</v>
      </c>
      <c r="N444" s="67" t="s">
        <v>11</v>
      </c>
      <c r="O444" s="64">
        <v>130664</v>
      </c>
    </row>
    <row r="445" spans="1:15" ht="15.75" x14ac:dyDescent="0.25">
      <c r="A445" s="58"/>
      <c r="C445" s="57"/>
      <c r="E445" s="56">
        <v>139554.5</v>
      </c>
      <c r="G445" s="64">
        <v>1783844</v>
      </c>
      <c r="J445" s="64">
        <v>1661.36</v>
      </c>
      <c r="M445" s="67" t="s">
        <v>169</v>
      </c>
      <c r="N445" s="67" t="s">
        <v>50</v>
      </c>
      <c r="O445" s="64">
        <v>1661.36</v>
      </c>
    </row>
    <row r="446" spans="1:15" ht="15.75" x14ac:dyDescent="0.25">
      <c r="A446" s="56">
        <v>4065</v>
      </c>
      <c r="C446" s="57"/>
      <c r="E446" s="57"/>
      <c r="G446" s="64">
        <v>475502.4</v>
      </c>
      <c r="J446" s="64">
        <v>51092.52</v>
      </c>
      <c r="M446" s="67" t="s">
        <v>169</v>
      </c>
      <c r="N446" s="67" t="s">
        <v>11</v>
      </c>
      <c r="O446" s="64">
        <v>51092.52</v>
      </c>
    </row>
    <row r="447" spans="1:15" ht="15.75" x14ac:dyDescent="0.25">
      <c r="A447" s="58"/>
      <c r="C447" s="57"/>
      <c r="E447" s="56">
        <v>16260</v>
      </c>
      <c r="G447" s="64">
        <v>9431.6</v>
      </c>
      <c r="J447" s="64">
        <v>1024310</v>
      </c>
      <c r="M447" s="67" t="s">
        <v>169</v>
      </c>
      <c r="N447" s="67" t="s">
        <v>50</v>
      </c>
      <c r="O447" s="64">
        <v>1024310</v>
      </c>
    </row>
    <row r="448" spans="1:15" ht="15.75" x14ac:dyDescent="0.25">
      <c r="A448" s="56">
        <v>71100.800000000003</v>
      </c>
      <c r="C448" s="57"/>
      <c r="E448" s="56">
        <v>29003.25</v>
      </c>
      <c r="G448" s="64">
        <v>1305591.8999999999</v>
      </c>
      <c r="J448" s="64">
        <v>179280</v>
      </c>
      <c r="M448" s="67" t="s">
        <v>169</v>
      </c>
      <c r="N448" s="67" t="s">
        <v>50</v>
      </c>
      <c r="O448" s="64">
        <v>179280</v>
      </c>
    </row>
    <row r="449" spans="1:15" ht="15.75" x14ac:dyDescent="0.25">
      <c r="A449" s="56">
        <v>35087.199999999997</v>
      </c>
      <c r="C449" s="56">
        <v>166716.9</v>
      </c>
      <c r="E449" s="56">
        <v>58947.199999999997</v>
      </c>
      <c r="G449" s="65">
        <v>166716.9</v>
      </c>
      <c r="J449" s="64">
        <v>313872</v>
      </c>
      <c r="M449" s="67" t="s">
        <v>169</v>
      </c>
      <c r="N449" s="67" t="s">
        <v>50</v>
      </c>
      <c r="O449" s="64">
        <v>313872</v>
      </c>
    </row>
    <row r="450" spans="1:15" x14ac:dyDescent="0.25">
      <c r="A450" s="58"/>
      <c r="C450" s="58"/>
      <c r="E450" s="58"/>
      <c r="G450" s="58"/>
      <c r="J450" s="64">
        <v>43664.4</v>
      </c>
      <c r="M450" s="67" t="s">
        <v>170</v>
      </c>
      <c r="N450" s="67" t="s">
        <v>50</v>
      </c>
      <c r="O450" s="64">
        <v>43664.4</v>
      </c>
    </row>
    <row r="451" spans="1:15" ht="15.75" x14ac:dyDescent="0.25">
      <c r="A451" s="56">
        <v>13245.06</v>
      </c>
      <c r="C451" s="56">
        <v>22516.2</v>
      </c>
      <c r="E451" s="58"/>
      <c r="G451" s="65">
        <v>22516.2</v>
      </c>
      <c r="J451" s="64">
        <v>62968</v>
      </c>
      <c r="M451" s="67" t="s">
        <v>170</v>
      </c>
      <c r="N451" s="67" t="s">
        <v>50</v>
      </c>
      <c r="O451" s="64">
        <v>62968</v>
      </c>
    </row>
    <row r="452" spans="1:15" x14ac:dyDescent="0.25">
      <c r="A452" s="58"/>
      <c r="C452" s="57"/>
      <c r="E452" s="58"/>
      <c r="G452" s="64">
        <v>373969.4</v>
      </c>
      <c r="J452" s="64">
        <v>5258.1</v>
      </c>
      <c r="M452" s="67" t="s">
        <v>171</v>
      </c>
      <c r="N452" s="67" t="s">
        <v>50</v>
      </c>
      <c r="O452" s="64">
        <v>5258.1</v>
      </c>
    </row>
    <row r="453" spans="1:15" ht="15.75" x14ac:dyDescent="0.25">
      <c r="A453" s="56">
        <v>1927.5</v>
      </c>
      <c r="C453" s="56">
        <v>143150.24</v>
      </c>
      <c r="E453" s="56">
        <v>2546.7600000000002</v>
      </c>
      <c r="G453" s="65">
        <v>143150.24</v>
      </c>
      <c r="J453" s="64">
        <v>33636.839999999997</v>
      </c>
      <c r="M453" s="67" t="s">
        <v>171</v>
      </c>
      <c r="N453" s="67" t="s">
        <v>50</v>
      </c>
      <c r="O453" s="64">
        <v>33636.839999999997</v>
      </c>
    </row>
    <row r="454" spans="1:15" ht="15.75" x14ac:dyDescent="0.25">
      <c r="A454" s="56">
        <v>13953.8</v>
      </c>
      <c r="C454" s="56">
        <v>141724.79999999999</v>
      </c>
      <c r="E454" s="56">
        <v>12351</v>
      </c>
      <c r="G454" s="65">
        <v>141724.79999999999</v>
      </c>
      <c r="J454" s="64">
        <v>393217</v>
      </c>
      <c r="M454" s="67" t="s">
        <v>171</v>
      </c>
      <c r="N454" s="67" t="s">
        <v>50</v>
      </c>
      <c r="O454" s="64">
        <v>393217</v>
      </c>
    </row>
    <row r="455" spans="1:15" ht="15.75" x14ac:dyDescent="0.25">
      <c r="A455" s="56">
        <v>13779</v>
      </c>
      <c r="C455" s="56">
        <v>35169.879999999997</v>
      </c>
      <c r="E455" s="56">
        <v>43555.199999999997</v>
      </c>
      <c r="G455" s="65">
        <v>35169.879999999997</v>
      </c>
      <c r="J455" s="64">
        <v>15896.16</v>
      </c>
      <c r="M455" s="67" t="s">
        <v>171</v>
      </c>
      <c r="N455" s="67" t="s">
        <v>50</v>
      </c>
      <c r="O455" s="64">
        <v>15896.16</v>
      </c>
    </row>
    <row r="456" spans="1:15" ht="15.75" x14ac:dyDescent="0.25">
      <c r="A456" s="56">
        <v>35904.400000000001</v>
      </c>
      <c r="C456" s="57"/>
      <c r="E456" s="56">
        <v>193198.5</v>
      </c>
      <c r="G456" s="64">
        <v>7403.5</v>
      </c>
      <c r="J456" s="64">
        <v>630027.75</v>
      </c>
      <c r="M456" s="67" t="s">
        <v>172</v>
      </c>
      <c r="N456" s="67" t="s">
        <v>11</v>
      </c>
      <c r="O456" s="64">
        <v>630027.75</v>
      </c>
    </row>
    <row r="457" spans="1:15" ht="15.75" x14ac:dyDescent="0.25">
      <c r="A457" s="56">
        <v>267629.59999999998</v>
      </c>
      <c r="C457" s="56">
        <v>34445.599999999999</v>
      </c>
      <c r="E457" s="56">
        <v>467500</v>
      </c>
      <c r="G457" s="65">
        <v>34445.599999999999</v>
      </c>
      <c r="J457" s="64">
        <v>23063.040000000001</v>
      </c>
      <c r="M457" s="67" t="s">
        <v>172</v>
      </c>
      <c r="N457" s="67" t="s">
        <v>11</v>
      </c>
      <c r="O457" s="64">
        <v>23063.040000000001</v>
      </c>
    </row>
    <row r="458" spans="1:15" ht="15.75" x14ac:dyDescent="0.25">
      <c r="A458" s="58"/>
      <c r="C458" s="57"/>
      <c r="E458" s="56">
        <v>1809</v>
      </c>
      <c r="G458" s="64">
        <v>90453.6</v>
      </c>
      <c r="J458" s="64">
        <v>70798</v>
      </c>
      <c r="M458" s="67" t="s">
        <v>173</v>
      </c>
      <c r="N458" s="67" t="s">
        <v>50</v>
      </c>
      <c r="O458" s="64">
        <v>70798</v>
      </c>
    </row>
    <row r="459" spans="1:15" ht="15.75" x14ac:dyDescent="0.25">
      <c r="A459" s="56">
        <v>1153419.3999999999</v>
      </c>
      <c r="C459" s="56">
        <v>68439.7</v>
      </c>
      <c r="E459" s="57"/>
      <c r="G459" s="65">
        <v>68439.7</v>
      </c>
      <c r="J459" s="64">
        <v>301824</v>
      </c>
      <c r="M459" s="67" t="s">
        <v>173</v>
      </c>
      <c r="N459" s="67" t="s">
        <v>50</v>
      </c>
      <c r="O459" s="64">
        <v>301824</v>
      </c>
    </row>
    <row r="460" spans="1:15" ht="15.75" x14ac:dyDescent="0.25">
      <c r="A460" s="61">
        <v>780.75</v>
      </c>
      <c r="C460" s="56">
        <v>162894.85</v>
      </c>
      <c r="E460" s="56">
        <v>12792</v>
      </c>
      <c r="G460" s="65">
        <v>162894.85</v>
      </c>
      <c r="J460" s="64">
        <v>165318</v>
      </c>
      <c r="M460" s="67" t="s">
        <v>174</v>
      </c>
      <c r="N460" s="67" t="s">
        <v>50</v>
      </c>
      <c r="O460" s="64">
        <v>165318</v>
      </c>
    </row>
    <row r="461" spans="1:15" ht="15.75" x14ac:dyDescent="0.25">
      <c r="A461" s="56">
        <v>183678.75</v>
      </c>
      <c r="C461" s="56">
        <v>396802</v>
      </c>
      <c r="E461" s="56">
        <v>9341.25</v>
      </c>
      <c r="G461" s="65">
        <v>396802</v>
      </c>
      <c r="J461" s="64">
        <v>7849</v>
      </c>
      <c r="M461" s="67" t="s">
        <v>174</v>
      </c>
      <c r="N461" s="67" t="s">
        <v>50</v>
      </c>
      <c r="O461" s="64">
        <v>7849</v>
      </c>
    </row>
    <row r="462" spans="1:15" ht="15.75" x14ac:dyDescent="0.25">
      <c r="A462" s="56">
        <v>36064.5</v>
      </c>
      <c r="C462" s="58"/>
      <c r="E462" s="56">
        <v>11721.6</v>
      </c>
      <c r="G462" s="58"/>
      <c r="J462" s="64">
        <v>237387.75</v>
      </c>
      <c r="M462" s="67" t="s">
        <v>174</v>
      </c>
      <c r="N462" s="67" t="s">
        <v>50</v>
      </c>
      <c r="O462" s="64">
        <v>237387.75</v>
      </c>
    </row>
    <row r="463" spans="1:15" ht="15.75" x14ac:dyDescent="0.25">
      <c r="A463" s="56">
        <v>15672.8</v>
      </c>
      <c r="C463" s="56">
        <v>66681.45</v>
      </c>
      <c r="E463" s="56">
        <v>161688.75</v>
      </c>
      <c r="G463" s="65">
        <v>66681.45</v>
      </c>
      <c r="J463" s="64">
        <v>40812</v>
      </c>
      <c r="M463" s="67" t="s">
        <v>175</v>
      </c>
      <c r="N463" s="67" t="s">
        <v>50</v>
      </c>
      <c r="O463" s="64">
        <v>40812</v>
      </c>
    </row>
    <row r="464" spans="1:15" ht="15.75" x14ac:dyDescent="0.25">
      <c r="A464" s="56">
        <v>143712.75</v>
      </c>
      <c r="C464" s="57"/>
      <c r="E464" s="57"/>
      <c r="G464" s="64">
        <v>36613.5</v>
      </c>
      <c r="J464" s="64">
        <v>363430.15</v>
      </c>
      <c r="M464" s="67" t="s">
        <v>175</v>
      </c>
      <c r="N464" s="67" t="s">
        <v>11</v>
      </c>
      <c r="O464" s="64">
        <v>363430.15</v>
      </c>
    </row>
    <row r="465" spans="1:15" ht="15.75" x14ac:dyDescent="0.25">
      <c r="A465" s="58"/>
      <c r="C465" s="56">
        <v>30936.6</v>
      </c>
      <c r="E465" s="57"/>
      <c r="G465" s="65">
        <v>30936.6</v>
      </c>
      <c r="J465" s="64">
        <v>25710.75</v>
      </c>
      <c r="M465" s="67" t="s">
        <v>175</v>
      </c>
      <c r="N465" s="67" t="s">
        <v>11</v>
      </c>
      <c r="O465" s="64">
        <v>25710.75</v>
      </c>
    </row>
    <row r="466" spans="1:15" ht="15.75" x14ac:dyDescent="0.25">
      <c r="A466" s="56">
        <v>468239.6</v>
      </c>
      <c r="C466" s="56">
        <v>8492.4</v>
      </c>
      <c r="E466" s="56">
        <v>100363.26</v>
      </c>
      <c r="G466" s="65">
        <v>8492.4</v>
      </c>
      <c r="J466" s="64">
        <v>6758523.8200000003</v>
      </c>
      <c r="M466" s="67" t="s">
        <v>176</v>
      </c>
      <c r="N466" s="67" t="s">
        <v>50</v>
      </c>
      <c r="O466" s="64">
        <v>6758523.8200000003</v>
      </c>
    </row>
    <row r="467" spans="1:15" ht="15.75" x14ac:dyDescent="0.25">
      <c r="A467" s="56">
        <v>8790</v>
      </c>
      <c r="C467" s="56">
        <v>4363.8</v>
      </c>
      <c r="E467" s="56">
        <v>19659.599999999999</v>
      </c>
      <c r="G467" s="65">
        <v>4363.8</v>
      </c>
      <c r="J467" s="64">
        <v>15476.4</v>
      </c>
      <c r="M467" s="67" t="s">
        <v>176</v>
      </c>
      <c r="N467" s="67" t="s">
        <v>50</v>
      </c>
      <c r="O467" s="64">
        <v>15476.4</v>
      </c>
    </row>
    <row r="468" spans="1:15" ht="15.75" x14ac:dyDescent="0.25">
      <c r="A468" s="56">
        <v>119415</v>
      </c>
      <c r="C468" s="58"/>
      <c r="E468" s="56">
        <v>5273.1</v>
      </c>
      <c r="G468" s="58"/>
      <c r="J468" s="64">
        <v>725360.8</v>
      </c>
      <c r="M468" s="67" t="s">
        <v>176</v>
      </c>
      <c r="N468" s="67" t="s">
        <v>50</v>
      </c>
      <c r="O468" s="64">
        <v>725360.8</v>
      </c>
    </row>
    <row r="469" spans="1:15" ht="15.75" x14ac:dyDescent="0.25">
      <c r="A469" s="56">
        <v>68355.42</v>
      </c>
      <c r="C469" s="56">
        <v>8034.6</v>
      </c>
      <c r="E469" s="58"/>
      <c r="G469" s="65">
        <v>8034.6</v>
      </c>
      <c r="J469" s="64">
        <v>730372.64</v>
      </c>
      <c r="M469" s="67" t="s">
        <v>176</v>
      </c>
      <c r="N469" s="67" t="s">
        <v>50</v>
      </c>
      <c r="O469" s="64">
        <v>730372.64</v>
      </c>
    </row>
    <row r="470" spans="1:15" ht="15.75" x14ac:dyDescent="0.25">
      <c r="A470" s="56">
        <v>16206.75</v>
      </c>
      <c r="C470" s="56">
        <v>81047.55</v>
      </c>
      <c r="E470" s="56">
        <v>619681.5</v>
      </c>
      <c r="G470" s="65">
        <v>81047.55</v>
      </c>
      <c r="J470" s="64">
        <v>777365.28</v>
      </c>
      <c r="M470" s="67" t="s">
        <v>176</v>
      </c>
      <c r="N470" s="67" t="s">
        <v>50</v>
      </c>
      <c r="O470" s="64">
        <v>777365.28</v>
      </c>
    </row>
    <row r="471" spans="1:15" ht="15.75" x14ac:dyDescent="0.25">
      <c r="A471" s="56">
        <v>4880</v>
      </c>
      <c r="C471" s="56">
        <v>1693076.7</v>
      </c>
      <c r="E471" s="56">
        <v>10779.6</v>
      </c>
      <c r="G471" s="65">
        <v>1693076.7</v>
      </c>
      <c r="J471" s="64">
        <v>725360.8</v>
      </c>
      <c r="M471" s="67" t="s">
        <v>176</v>
      </c>
      <c r="N471" s="67" t="s">
        <v>50</v>
      </c>
      <c r="O471" s="64">
        <v>725360.8</v>
      </c>
    </row>
    <row r="472" spans="1:15" ht="15.75" x14ac:dyDescent="0.25">
      <c r="A472" s="56">
        <v>22938</v>
      </c>
      <c r="C472" s="57"/>
      <c r="E472" s="56">
        <v>4348.5</v>
      </c>
      <c r="G472" s="64">
        <v>42702</v>
      </c>
      <c r="J472" s="64">
        <v>418870</v>
      </c>
      <c r="M472" s="67" t="s">
        <v>176</v>
      </c>
      <c r="N472" s="67" t="s">
        <v>11</v>
      </c>
      <c r="O472" s="64">
        <v>418870</v>
      </c>
    </row>
    <row r="473" spans="1:15" ht="15.75" x14ac:dyDescent="0.25">
      <c r="A473" s="58"/>
      <c r="C473" s="56">
        <v>69554.880000000005</v>
      </c>
      <c r="E473" s="57"/>
      <c r="G473" s="65">
        <v>69554.880000000005</v>
      </c>
      <c r="J473" s="64">
        <v>53051.05</v>
      </c>
      <c r="M473" s="67" t="s">
        <v>177</v>
      </c>
      <c r="N473" s="67" t="s">
        <v>50</v>
      </c>
      <c r="O473" s="64">
        <v>53051.05</v>
      </c>
    </row>
    <row r="474" spans="1:15" ht="15.75" x14ac:dyDescent="0.25">
      <c r="A474" s="56">
        <v>14546.4</v>
      </c>
      <c r="C474" s="58"/>
      <c r="E474" s="56">
        <v>55873.9</v>
      </c>
      <c r="G474" s="58"/>
      <c r="J474" s="64">
        <v>41514.300000000003</v>
      </c>
      <c r="M474" s="67" t="s">
        <v>177</v>
      </c>
      <c r="N474" s="67" t="s">
        <v>50</v>
      </c>
      <c r="O474" s="64">
        <v>41514.300000000003</v>
      </c>
    </row>
    <row r="475" spans="1:15" ht="15.75" x14ac:dyDescent="0.25">
      <c r="A475" s="56">
        <v>3645.6</v>
      </c>
      <c r="C475" s="57"/>
      <c r="E475" s="56">
        <v>20756.25</v>
      </c>
      <c r="G475" s="64">
        <v>74067.740000000005</v>
      </c>
      <c r="J475" s="64">
        <v>209170.24</v>
      </c>
      <c r="M475" s="67" t="s">
        <v>177</v>
      </c>
      <c r="N475" s="67" t="s">
        <v>50</v>
      </c>
      <c r="O475" s="64">
        <v>209170.24</v>
      </c>
    </row>
    <row r="476" spans="1:15" ht="15.75" x14ac:dyDescent="0.25">
      <c r="A476" s="56">
        <v>66817.679999999993</v>
      </c>
      <c r="C476" s="56">
        <v>109956.51</v>
      </c>
      <c r="E476" s="56">
        <v>192832.5</v>
      </c>
      <c r="G476" s="65">
        <v>109956.51</v>
      </c>
      <c r="J476" s="64">
        <v>896320.88</v>
      </c>
      <c r="M476" s="67" t="s">
        <v>177</v>
      </c>
      <c r="N476" s="67" t="s">
        <v>50</v>
      </c>
      <c r="O476" s="64">
        <v>896320.88</v>
      </c>
    </row>
    <row r="477" spans="1:15" ht="15.75" x14ac:dyDescent="0.25">
      <c r="A477" s="56">
        <v>63896.800000000003</v>
      </c>
      <c r="C477" s="56">
        <v>19228</v>
      </c>
      <c r="E477" s="56">
        <v>256526.25</v>
      </c>
      <c r="G477" s="65">
        <v>19228</v>
      </c>
      <c r="J477" s="64">
        <v>62433.75</v>
      </c>
      <c r="M477" s="67" t="s">
        <v>178</v>
      </c>
      <c r="N477" s="67" t="s">
        <v>50</v>
      </c>
      <c r="O477" s="64">
        <v>62433.75</v>
      </c>
    </row>
    <row r="478" spans="1:15" ht="15.75" x14ac:dyDescent="0.25">
      <c r="A478" s="56">
        <v>7064.2</v>
      </c>
      <c r="C478" s="57"/>
      <c r="E478" s="58"/>
      <c r="G478" s="64">
        <v>41368.6</v>
      </c>
      <c r="J478" s="64">
        <v>46265.38</v>
      </c>
      <c r="M478" s="67" t="s">
        <v>179</v>
      </c>
      <c r="N478" s="67" t="s">
        <v>50</v>
      </c>
      <c r="O478" s="64">
        <v>46265.38</v>
      </c>
    </row>
    <row r="479" spans="1:15" ht="15.75" x14ac:dyDescent="0.25">
      <c r="A479" s="56">
        <v>4772.75</v>
      </c>
      <c r="C479" s="56">
        <v>279717.40000000002</v>
      </c>
      <c r="E479" s="56">
        <v>24401.599999999999</v>
      </c>
      <c r="G479" s="65">
        <v>279717.40000000002</v>
      </c>
      <c r="J479" s="64">
        <v>10408.5</v>
      </c>
      <c r="M479" s="67" t="s">
        <v>179</v>
      </c>
      <c r="N479" s="67" t="s">
        <v>50</v>
      </c>
      <c r="O479" s="64">
        <v>10408.5</v>
      </c>
    </row>
    <row r="480" spans="1:15" ht="15.75" x14ac:dyDescent="0.25">
      <c r="A480" s="56">
        <v>3033.6</v>
      </c>
      <c r="C480" s="57"/>
      <c r="E480" s="56">
        <v>28605.9</v>
      </c>
      <c r="G480" s="64">
        <v>155120</v>
      </c>
      <c r="J480" s="64">
        <v>11449.5</v>
      </c>
      <c r="M480" s="67" t="s">
        <v>179</v>
      </c>
      <c r="N480" s="67" t="s">
        <v>50</v>
      </c>
      <c r="O480" s="64">
        <v>11449.5</v>
      </c>
    </row>
    <row r="481" spans="1:15" ht="15.75" x14ac:dyDescent="0.25">
      <c r="A481" s="56">
        <v>90492.800000000003</v>
      </c>
      <c r="C481" s="56">
        <v>18638.099999999999</v>
      </c>
      <c r="E481" s="57"/>
      <c r="G481" s="65">
        <v>18638.099999999999</v>
      </c>
      <c r="J481" s="64">
        <v>1835457.94</v>
      </c>
      <c r="M481" s="67" t="s">
        <v>179</v>
      </c>
      <c r="N481" s="67" t="s">
        <v>50</v>
      </c>
      <c r="O481" s="64">
        <v>1835457.94</v>
      </c>
    </row>
    <row r="482" spans="1:15" ht="15.75" x14ac:dyDescent="0.25">
      <c r="A482" s="58"/>
      <c r="C482" s="57"/>
      <c r="E482" s="56">
        <v>40344.75</v>
      </c>
      <c r="G482" s="64">
        <v>145387.79999999999</v>
      </c>
      <c r="J482" s="64">
        <v>10072.5</v>
      </c>
      <c r="M482" s="67" t="s">
        <v>180</v>
      </c>
      <c r="N482" s="67" t="s">
        <v>50</v>
      </c>
      <c r="O482" s="64">
        <v>10072.5</v>
      </c>
    </row>
    <row r="483" spans="1:15" ht="15.75" x14ac:dyDescent="0.25">
      <c r="A483" s="56">
        <v>4640.3999999999996</v>
      </c>
      <c r="C483" s="57"/>
      <c r="E483" s="57"/>
      <c r="G483" s="64">
        <v>24950.45</v>
      </c>
      <c r="J483" s="64">
        <v>959363.2</v>
      </c>
      <c r="M483" s="67" t="s">
        <v>180</v>
      </c>
      <c r="N483" s="67" t="s">
        <v>50</v>
      </c>
      <c r="O483" s="64">
        <v>959363.2</v>
      </c>
    </row>
    <row r="484" spans="1:15" ht="15.75" x14ac:dyDescent="0.25">
      <c r="A484" s="56">
        <v>25800</v>
      </c>
      <c r="C484" s="56">
        <v>240678.2</v>
      </c>
      <c r="E484" s="56">
        <v>29064</v>
      </c>
      <c r="G484" s="65">
        <v>240678.2</v>
      </c>
      <c r="J484" s="64">
        <v>49937.25</v>
      </c>
      <c r="M484" s="67" t="s">
        <v>180</v>
      </c>
      <c r="N484" s="67" t="s">
        <v>50</v>
      </c>
      <c r="O484" s="64">
        <v>49937.25</v>
      </c>
    </row>
    <row r="485" spans="1:15" ht="15.75" x14ac:dyDescent="0.25">
      <c r="A485" s="56">
        <v>99084</v>
      </c>
      <c r="C485" s="57"/>
      <c r="E485" s="56">
        <v>3108</v>
      </c>
      <c r="G485" s="64">
        <v>242429</v>
      </c>
      <c r="J485" s="64">
        <v>157717.5</v>
      </c>
      <c r="M485" s="67" t="s">
        <v>180</v>
      </c>
      <c r="N485" s="67" t="s">
        <v>50</v>
      </c>
      <c r="O485" s="64">
        <v>157717.5</v>
      </c>
    </row>
    <row r="486" spans="1:15" ht="15.75" x14ac:dyDescent="0.25">
      <c r="A486" s="58"/>
      <c r="C486" s="58"/>
      <c r="E486" s="56">
        <v>98267.5</v>
      </c>
      <c r="G486" s="58"/>
      <c r="J486" s="64">
        <v>15894.15</v>
      </c>
      <c r="M486" s="67" t="s">
        <v>181</v>
      </c>
      <c r="N486" s="67" t="s">
        <v>11</v>
      </c>
      <c r="O486" s="64">
        <v>15894.15</v>
      </c>
    </row>
    <row r="487" spans="1:15" ht="15.75" x14ac:dyDescent="0.25">
      <c r="A487" s="58"/>
      <c r="C487" s="57"/>
      <c r="E487" s="56">
        <v>93346.240000000005</v>
      </c>
      <c r="G487" s="64">
        <v>5270.6</v>
      </c>
      <c r="J487" s="64">
        <v>78758.8</v>
      </c>
      <c r="M487" s="67" t="s">
        <v>181</v>
      </c>
      <c r="N487" s="67" t="s">
        <v>50</v>
      </c>
      <c r="O487" s="64">
        <v>78758.8</v>
      </c>
    </row>
    <row r="488" spans="1:15" ht="15.75" x14ac:dyDescent="0.25">
      <c r="A488" s="56">
        <v>4065</v>
      </c>
      <c r="C488" s="56">
        <v>54899.6</v>
      </c>
      <c r="E488" s="57"/>
      <c r="G488" s="65">
        <v>54899.6</v>
      </c>
      <c r="J488" s="64">
        <v>51157.120000000003</v>
      </c>
      <c r="M488" s="67" t="s">
        <v>181</v>
      </c>
      <c r="N488" s="67" t="s">
        <v>50</v>
      </c>
      <c r="O488" s="64">
        <v>51157.120000000003</v>
      </c>
    </row>
    <row r="489" spans="1:15" ht="15.75" x14ac:dyDescent="0.25">
      <c r="A489" s="56">
        <v>5686.32</v>
      </c>
      <c r="C489" s="57"/>
      <c r="E489" s="56">
        <v>17299.2</v>
      </c>
      <c r="G489" s="64">
        <v>30016</v>
      </c>
      <c r="J489" s="64">
        <v>7432.56</v>
      </c>
      <c r="M489" s="67" t="s">
        <v>181</v>
      </c>
      <c r="N489" s="67" t="s">
        <v>50</v>
      </c>
      <c r="O489" s="64">
        <v>7432.56</v>
      </c>
    </row>
    <row r="490" spans="1:15" ht="15.75" x14ac:dyDescent="0.25">
      <c r="A490" s="56">
        <v>219822.8</v>
      </c>
      <c r="C490" s="57"/>
      <c r="E490" s="56">
        <v>35379</v>
      </c>
      <c r="G490" s="64">
        <v>22734</v>
      </c>
      <c r="J490" s="64">
        <v>25514</v>
      </c>
      <c r="M490" s="67" t="s">
        <v>181</v>
      </c>
      <c r="N490" s="67" t="s">
        <v>50</v>
      </c>
      <c r="O490" s="64">
        <v>25514</v>
      </c>
    </row>
    <row r="491" spans="1:15" ht="15.75" x14ac:dyDescent="0.25">
      <c r="A491" s="56">
        <v>46059</v>
      </c>
      <c r="C491" s="57"/>
      <c r="E491" s="56">
        <v>16539.3</v>
      </c>
      <c r="G491" s="64">
        <v>1944.8</v>
      </c>
      <c r="J491" s="64">
        <v>28501.52</v>
      </c>
      <c r="M491" s="67" t="s">
        <v>182</v>
      </c>
      <c r="N491" s="67" t="s">
        <v>50</v>
      </c>
      <c r="O491" s="64">
        <v>28501.52</v>
      </c>
    </row>
    <row r="492" spans="1:15" ht="15.75" x14ac:dyDescent="0.25">
      <c r="A492" s="56">
        <v>5256.92</v>
      </c>
      <c r="C492" s="57"/>
      <c r="E492" s="56">
        <v>50940</v>
      </c>
      <c r="G492" s="64">
        <v>226200.4</v>
      </c>
      <c r="J492" s="64">
        <v>5845363.2999999998</v>
      </c>
      <c r="M492" s="67" t="s">
        <v>182</v>
      </c>
      <c r="N492" s="67" t="s">
        <v>50</v>
      </c>
      <c r="O492" s="64">
        <v>5845363.2999999998</v>
      </c>
    </row>
    <row r="493" spans="1:15" ht="15.75" x14ac:dyDescent="0.25">
      <c r="A493" s="58"/>
      <c r="C493" s="56">
        <v>47334</v>
      </c>
      <c r="E493" s="56">
        <v>179001.2</v>
      </c>
      <c r="G493" s="65">
        <v>47334</v>
      </c>
      <c r="J493" s="64">
        <v>204516</v>
      </c>
      <c r="M493" s="67" t="s">
        <v>182</v>
      </c>
      <c r="N493" s="67" t="s">
        <v>50</v>
      </c>
      <c r="O493" s="64">
        <v>204516</v>
      </c>
    </row>
    <row r="494" spans="1:15" ht="15.75" x14ac:dyDescent="0.25">
      <c r="A494" s="56">
        <v>10786.9</v>
      </c>
      <c r="C494" s="56">
        <v>248133.2</v>
      </c>
      <c r="E494" s="56">
        <v>43859.6</v>
      </c>
      <c r="G494" s="65">
        <v>248133.2</v>
      </c>
      <c r="J494" s="64">
        <v>135467.20000000001</v>
      </c>
      <c r="M494" s="67" t="s">
        <v>182</v>
      </c>
      <c r="N494" s="67" t="s">
        <v>50</v>
      </c>
      <c r="O494" s="64">
        <v>135467.20000000001</v>
      </c>
    </row>
    <row r="495" spans="1:15" x14ac:dyDescent="0.25">
      <c r="A495" s="58"/>
      <c r="C495" s="57"/>
      <c r="E495" s="57"/>
      <c r="G495" s="64">
        <v>28100.05</v>
      </c>
      <c r="J495" s="64">
        <v>33605.599999999999</v>
      </c>
      <c r="M495" s="67" t="s">
        <v>182</v>
      </c>
      <c r="N495" s="67" t="s">
        <v>11</v>
      </c>
      <c r="O495" s="64">
        <v>33605.599999999999</v>
      </c>
    </row>
    <row r="496" spans="1:15" ht="15.75" x14ac:dyDescent="0.25">
      <c r="A496" s="56">
        <v>8844.75</v>
      </c>
      <c r="C496" s="56">
        <v>7767.2</v>
      </c>
      <c r="E496" s="56">
        <v>18343.36</v>
      </c>
      <c r="G496" s="65">
        <v>7767.2</v>
      </c>
      <c r="J496" s="64">
        <v>3931361.6</v>
      </c>
      <c r="M496" s="67" t="s">
        <v>183</v>
      </c>
      <c r="N496" s="67" t="s">
        <v>50</v>
      </c>
      <c r="O496" s="64">
        <v>3931361.6</v>
      </c>
    </row>
    <row r="497" spans="1:15" ht="15.75" x14ac:dyDescent="0.25">
      <c r="A497" s="56">
        <v>166335.51</v>
      </c>
      <c r="C497" s="57"/>
      <c r="E497" s="56">
        <v>142268.38</v>
      </c>
      <c r="G497" s="64">
        <v>50706.6</v>
      </c>
      <c r="J497" s="64">
        <v>66583</v>
      </c>
      <c r="M497" s="67" t="s">
        <v>183</v>
      </c>
      <c r="N497" s="67" t="s">
        <v>50</v>
      </c>
      <c r="O497" s="64">
        <v>66583</v>
      </c>
    </row>
    <row r="498" spans="1:15" x14ac:dyDescent="0.25">
      <c r="A498" s="58"/>
      <c r="C498" s="58"/>
      <c r="E498" s="58"/>
      <c r="G498" s="58"/>
      <c r="J498" s="64">
        <v>52342.2</v>
      </c>
      <c r="M498" s="67" t="s">
        <v>183</v>
      </c>
      <c r="N498" s="67" t="s">
        <v>50</v>
      </c>
      <c r="O498" s="64">
        <v>52342.2</v>
      </c>
    </row>
    <row r="499" spans="1:15" ht="15.75" x14ac:dyDescent="0.25">
      <c r="A499" s="56">
        <v>156483.75</v>
      </c>
      <c r="C499" s="56">
        <v>20781.150000000001</v>
      </c>
      <c r="E499" s="56">
        <v>1435.5</v>
      </c>
      <c r="G499" s="65">
        <v>20781.150000000001</v>
      </c>
      <c r="J499" s="64">
        <v>12365068</v>
      </c>
      <c r="M499" s="67" t="s">
        <v>183</v>
      </c>
      <c r="N499" s="67" t="s">
        <v>50</v>
      </c>
      <c r="O499" s="64">
        <v>12365068</v>
      </c>
    </row>
    <row r="500" spans="1:15" ht="15.75" x14ac:dyDescent="0.25">
      <c r="A500" s="56">
        <v>6370.75</v>
      </c>
      <c r="C500" s="56">
        <v>83874.850000000006</v>
      </c>
      <c r="E500" s="57"/>
      <c r="G500" s="65">
        <v>83874.850000000006</v>
      </c>
      <c r="J500" s="64">
        <v>43297066</v>
      </c>
      <c r="M500" s="67" t="s">
        <v>183</v>
      </c>
      <c r="N500" s="67" t="s">
        <v>50</v>
      </c>
      <c r="O500" s="64">
        <v>43297066</v>
      </c>
    </row>
    <row r="501" spans="1:15" ht="15.75" x14ac:dyDescent="0.25">
      <c r="A501" s="56">
        <v>50388</v>
      </c>
      <c r="C501" s="57"/>
      <c r="E501" s="56">
        <v>66337.5</v>
      </c>
      <c r="G501" s="64">
        <v>21686</v>
      </c>
      <c r="J501" s="64">
        <v>15726767.800000001</v>
      </c>
      <c r="M501" s="67" t="s">
        <v>183</v>
      </c>
      <c r="N501" s="67" t="s">
        <v>50</v>
      </c>
      <c r="O501" s="64">
        <v>15726767.800000001</v>
      </c>
    </row>
    <row r="502" spans="1:15" ht="15.75" x14ac:dyDescent="0.25">
      <c r="A502" s="56">
        <v>3859.2</v>
      </c>
      <c r="C502" s="56">
        <v>21322.5</v>
      </c>
      <c r="E502" s="56">
        <v>450080</v>
      </c>
      <c r="G502" s="65">
        <v>21322.5</v>
      </c>
      <c r="J502" s="64">
        <v>32757.75</v>
      </c>
      <c r="M502" s="67" t="s">
        <v>184</v>
      </c>
      <c r="N502" s="67" t="s">
        <v>11</v>
      </c>
      <c r="O502" s="64">
        <v>32757.75</v>
      </c>
    </row>
    <row r="503" spans="1:15" ht="15.75" x14ac:dyDescent="0.25">
      <c r="A503" s="56">
        <v>16218.4</v>
      </c>
      <c r="C503" s="56">
        <v>91342.21</v>
      </c>
      <c r="E503" s="56">
        <v>10969.25</v>
      </c>
      <c r="G503" s="65">
        <v>91342.21</v>
      </c>
      <c r="J503" s="64">
        <v>37323.5</v>
      </c>
      <c r="M503" s="67" t="s">
        <v>184</v>
      </c>
      <c r="N503" s="67" t="s">
        <v>50</v>
      </c>
      <c r="O503" s="64">
        <v>37323.5</v>
      </c>
    </row>
    <row r="504" spans="1:15" ht="15.75" x14ac:dyDescent="0.25">
      <c r="A504" s="56">
        <v>157257.60000000001</v>
      </c>
      <c r="C504" s="56">
        <v>24784</v>
      </c>
      <c r="E504" s="57"/>
      <c r="G504" s="65">
        <v>24784</v>
      </c>
      <c r="J504" s="64">
        <v>808687</v>
      </c>
      <c r="M504" s="67" t="s">
        <v>184</v>
      </c>
      <c r="N504" s="67" t="s">
        <v>50</v>
      </c>
      <c r="O504" s="64">
        <v>808687</v>
      </c>
    </row>
    <row r="505" spans="1:15" ht="15.75" x14ac:dyDescent="0.25">
      <c r="A505" s="56">
        <v>26658</v>
      </c>
      <c r="C505" s="57"/>
      <c r="E505" s="60"/>
      <c r="G505" s="57"/>
      <c r="J505" s="64">
        <v>47206.64</v>
      </c>
      <c r="M505" s="67" t="s">
        <v>184</v>
      </c>
      <c r="N505" s="67" t="s">
        <v>50</v>
      </c>
      <c r="O505" s="64">
        <v>47206.64</v>
      </c>
    </row>
    <row r="506" spans="1:15" ht="15.75" x14ac:dyDescent="0.25">
      <c r="A506" s="56">
        <v>9885</v>
      </c>
      <c r="C506" s="56">
        <v>707190</v>
      </c>
      <c r="E506" s="56">
        <v>89256.6</v>
      </c>
      <c r="G506" s="65">
        <v>727440</v>
      </c>
      <c r="J506" s="64">
        <v>172441.5</v>
      </c>
      <c r="M506" s="67" t="s">
        <v>184</v>
      </c>
      <c r="N506" s="67" t="s">
        <v>11</v>
      </c>
      <c r="O506" s="64">
        <v>172441.5</v>
      </c>
    </row>
    <row r="507" spans="1:15" ht="15.75" x14ac:dyDescent="0.25">
      <c r="A507" s="56">
        <v>22001.759999999998</v>
      </c>
      <c r="C507" s="56">
        <v>24577.599999999999</v>
      </c>
      <c r="E507" s="56">
        <v>29056</v>
      </c>
      <c r="G507" s="65">
        <v>24577.599999999999</v>
      </c>
      <c r="J507" s="64">
        <v>108100.56</v>
      </c>
      <c r="M507" s="67" t="s">
        <v>185</v>
      </c>
      <c r="N507" s="67" t="s">
        <v>50</v>
      </c>
      <c r="O507" s="64">
        <v>108100.56</v>
      </c>
    </row>
    <row r="508" spans="1:15" ht="15.75" x14ac:dyDescent="0.25">
      <c r="A508" s="56">
        <v>11962.5</v>
      </c>
      <c r="C508" s="56">
        <v>208941.6</v>
      </c>
      <c r="E508" s="58"/>
      <c r="G508" s="65">
        <v>208941.6</v>
      </c>
      <c r="J508" s="64">
        <v>333541.2</v>
      </c>
      <c r="M508" s="67" t="s">
        <v>185</v>
      </c>
      <c r="N508" s="67" t="s">
        <v>50</v>
      </c>
      <c r="O508" s="64">
        <v>333541.2</v>
      </c>
    </row>
    <row r="509" spans="1:15" ht="15.75" x14ac:dyDescent="0.25">
      <c r="A509" s="56">
        <v>96017.8</v>
      </c>
      <c r="C509" s="56">
        <v>15230.25</v>
      </c>
      <c r="E509" s="56">
        <v>155308</v>
      </c>
      <c r="G509" s="65">
        <v>15230.25</v>
      </c>
      <c r="J509" s="64">
        <v>43864.5</v>
      </c>
      <c r="M509" s="67" t="s">
        <v>185</v>
      </c>
      <c r="N509" s="67" t="s">
        <v>50</v>
      </c>
      <c r="O509" s="64">
        <v>43864.5</v>
      </c>
    </row>
    <row r="510" spans="1:15" ht="15.75" x14ac:dyDescent="0.25">
      <c r="A510" s="56">
        <v>81611.460000000006</v>
      </c>
      <c r="C510" s="56">
        <v>172977</v>
      </c>
      <c r="E510" s="56">
        <v>136568.25</v>
      </c>
      <c r="G510" s="65">
        <v>172977</v>
      </c>
      <c r="J510" s="64">
        <v>30275.360000000001</v>
      </c>
      <c r="M510" s="67" t="s">
        <v>185</v>
      </c>
      <c r="N510" s="67" t="s">
        <v>50</v>
      </c>
      <c r="O510" s="64">
        <v>30275.360000000001</v>
      </c>
    </row>
    <row r="511" spans="1:15" ht="15.75" x14ac:dyDescent="0.25">
      <c r="A511" s="56">
        <v>27059.200000000001</v>
      </c>
      <c r="C511" s="58"/>
      <c r="E511" s="56">
        <v>13946.25</v>
      </c>
      <c r="G511" s="58"/>
      <c r="J511" s="64">
        <v>4435.5</v>
      </c>
      <c r="M511" s="67" t="s">
        <v>185</v>
      </c>
      <c r="N511" s="67" t="s">
        <v>50</v>
      </c>
      <c r="O511" s="64">
        <v>4435.5</v>
      </c>
    </row>
    <row r="512" spans="1:15" ht="15.75" x14ac:dyDescent="0.25">
      <c r="A512" s="58"/>
      <c r="C512" s="56">
        <v>247935</v>
      </c>
      <c r="E512" s="56">
        <v>94379.55</v>
      </c>
      <c r="G512" s="65">
        <v>247935</v>
      </c>
      <c r="J512" s="64">
        <v>13319.2</v>
      </c>
      <c r="M512" s="67" t="s">
        <v>186</v>
      </c>
      <c r="N512" s="67" t="s">
        <v>50</v>
      </c>
      <c r="O512" s="64">
        <v>13319.2</v>
      </c>
    </row>
    <row r="513" spans="1:15" ht="15.75" x14ac:dyDescent="0.25">
      <c r="A513" s="56">
        <v>6795.2</v>
      </c>
      <c r="C513" s="57"/>
      <c r="E513" s="57"/>
      <c r="G513" s="64">
        <v>85885.1</v>
      </c>
      <c r="J513" s="64">
        <v>86675</v>
      </c>
      <c r="M513" s="67" t="s">
        <v>186</v>
      </c>
      <c r="N513" s="67" t="s">
        <v>50</v>
      </c>
      <c r="O513" s="64">
        <v>86675</v>
      </c>
    </row>
    <row r="514" spans="1:15" ht="15.75" x14ac:dyDescent="0.25">
      <c r="A514" s="56">
        <v>20100.8</v>
      </c>
      <c r="C514" s="57"/>
      <c r="E514" s="56">
        <v>326434.95</v>
      </c>
      <c r="G514" s="64">
        <v>86539.5</v>
      </c>
      <c r="J514" s="64">
        <v>14762450</v>
      </c>
      <c r="M514" s="67" t="s">
        <v>186</v>
      </c>
      <c r="N514" s="67" t="s">
        <v>50</v>
      </c>
      <c r="O514" s="64">
        <v>14762450</v>
      </c>
    </row>
    <row r="515" spans="1:15" x14ac:dyDescent="0.25">
      <c r="A515" s="58"/>
      <c r="C515" s="57"/>
      <c r="E515" s="57"/>
      <c r="G515" s="64">
        <v>30201.599999999999</v>
      </c>
      <c r="J515" s="64">
        <v>19645.439999999999</v>
      </c>
      <c r="M515" s="67" t="s">
        <v>186</v>
      </c>
      <c r="N515" s="67" t="s">
        <v>50</v>
      </c>
      <c r="O515" s="64">
        <v>19645.439999999999</v>
      </c>
    </row>
    <row r="516" spans="1:15" x14ac:dyDescent="0.25">
      <c r="A516" s="58"/>
      <c r="C516" s="57"/>
      <c r="E516" s="57"/>
      <c r="G516" s="64">
        <v>12009.8</v>
      </c>
      <c r="J516" s="64">
        <v>345516.05</v>
      </c>
      <c r="M516" s="67" t="s">
        <v>186</v>
      </c>
      <c r="N516" s="67" t="s">
        <v>50</v>
      </c>
      <c r="O516" s="64">
        <v>345516.05</v>
      </c>
    </row>
    <row r="517" spans="1:15" ht="15.75" x14ac:dyDescent="0.25">
      <c r="A517" s="56">
        <v>4684.5</v>
      </c>
      <c r="C517" s="57"/>
      <c r="E517" s="56">
        <v>11487</v>
      </c>
      <c r="G517" s="64">
        <v>44699.199999999997</v>
      </c>
      <c r="J517" s="64">
        <v>649741</v>
      </c>
      <c r="M517" s="67" t="s">
        <v>186</v>
      </c>
      <c r="N517" s="67" t="s">
        <v>50</v>
      </c>
      <c r="O517" s="64">
        <v>649741</v>
      </c>
    </row>
    <row r="518" spans="1:15" ht="15.75" x14ac:dyDescent="0.25">
      <c r="A518" s="58"/>
      <c r="C518" s="56">
        <v>252980.7</v>
      </c>
      <c r="E518" s="56">
        <v>11437.5</v>
      </c>
      <c r="G518" s="65">
        <v>252980.7</v>
      </c>
      <c r="J518" s="64">
        <v>41270.400000000001</v>
      </c>
      <c r="M518" s="67" t="s">
        <v>186</v>
      </c>
      <c r="N518" s="67" t="s">
        <v>11</v>
      </c>
      <c r="O518" s="64">
        <v>41270.400000000001</v>
      </c>
    </row>
    <row r="519" spans="1:15" ht="15.75" x14ac:dyDescent="0.25">
      <c r="A519" s="58"/>
      <c r="C519" s="56">
        <v>29809.5</v>
      </c>
      <c r="E519" s="56">
        <v>62626.28</v>
      </c>
      <c r="G519" s="65">
        <v>29809.5</v>
      </c>
      <c r="J519" s="64">
        <v>5920.6</v>
      </c>
      <c r="M519" s="67" t="s">
        <v>186</v>
      </c>
      <c r="N519" s="67" t="s">
        <v>11</v>
      </c>
      <c r="O519" s="64">
        <v>5920.6</v>
      </c>
    </row>
    <row r="520" spans="1:15" ht="15.75" x14ac:dyDescent="0.25">
      <c r="A520" s="56">
        <v>2936.7</v>
      </c>
      <c r="C520" s="56">
        <v>248269</v>
      </c>
      <c r="E520" s="56">
        <v>18331.2</v>
      </c>
      <c r="G520" s="65">
        <v>248269</v>
      </c>
      <c r="J520" s="64">
        <v>20386.400000000001</v>
      </c>
      <c r="M520" s="67" t="s">
        <v>186</v>
      </c>
      <c r="N520" s="67" t="s">
        <v>11</v>
      </c>
      <c r="O520" s="64">
        <v>20386.400000000001</v>
      </c>
    </row>
    <row r="521" spans="1:15" ht="15.75" x14ac:dyDescent="0.25">
      <c r="A521" s="56">
        <v>142810.07999999999</v>
      </c>
      <c r="C521" s="56">
        <v>42612</v>
      </c>
      <c r="E521" s="56">
        <v>12432.1</v>
      </c>
      <c r="G521" s="65">
        <v>42612</v>
      </c>
      <c r="J521" s="64">
        <v>159456</v>
      </c>
      <c r="M521" s="67" t="s">
        <v>186</v>
      </c>
      <c r="N521" s="67" t="s">
        <v>11</v>
      </c>
      <c r="O521" s="64">
        <v>159456</v>
      </c>
    </row>
    <row r="522" spans="1:15" ht="15.75" x14ac:dyDescent="0.25">
      <c r="A522" s="56">
        <v>31236</v>
      </c>
      <c r="C522" s="56">
        <v>92413.92</v>
      </c>
      <c r="E522" s="56">
        <v>283953.05</v>
      </c>
      <c r="G522" s="65">
        <v>92413.92</v>
      </c>
      <c r="J522" s="64">
        <v>156455.12</v>
      </c>
      <c r="M522" s="67" t="s">
        <v>186</v>
      </c>
      <c r="N522" s="67" t="s">
        <v>11</v>
      </c>
      <c r="O522" s="64">
        <v>156455.12</v>
      </c>
    </row>
    <row r="523" spans="1:15" ht="15.75" x14ac:dyDescent="0.25">
      <c r="A523" s="56">
        <v>109350</v>
      </c>
      <c r="C523" s="56">
        <v>12830.64</v>
      </c>
      <c r="E523" s="56">
        <v>28687</v>
      </c>
      <c r="G523" s="65">
        <v>12830.64</v>
      </c>
      <c r="J523" s="64">
        <v>1077332.27</v>
      </c>
      <c r="M523" s="67" t="s">
        <v>187</v>
      </c>
      <c r="N523" s="67" t="s">
        <v>50</v>
      </c>
      <c r="O523" s="64">
        <v>1077332.27</v>
      </c>
    </row>
    <row r="524" spans="1:15" ht="15.75" x14ac:dyDescent="0.25">
      <c r="A524" s="58"/>
      <c r="C524" s="56">
        <v>91978.72</v>
      </c>
      <c r="E524">
        <f>SUM(E1:E523)</f>
        <v>58316743.010000013</v>
      </c>
      <c r="G524" s="65">
        <v>91978.72</v>
      </c>
      <c r="J524" s="64">
        <v>45623.199999999997</v>
      </c>
      <c r="M524" s="67" t="s">
        <v>187</v>
      </c>
      <c r="N524" s="67" t="s">
        <v>50</v>
      </c>
      <c r="O524" s="64">
        <v>45623.199999999997</v>
      </c>
    </row>
    <row r="525" spans="1:15" ht="15.75" x14ac:dyDescent="0.25">
      <c r="A525" s="56">
        <v>427818</v>
      </c>
      <c r="C525" s="56">
        <v>30810.92</v>
      </c>
      <c r="G525" s="65">
        <v>30810.92</v>
      </c>
      <c r="J525" s="64">
        <v>47343.6</v>
      </c>
      <c r="M525" s="67" t="s">
        <v>187</v>
      </c>
      <c r="N525" s="67" t="s">
        <v>50</v>
      </c>
      <c r="O525" s="64">
        <v>47343.6</v>
      </c>
    </row>
    <row r="526" spans="1:15" ht="15.75" x14ac:dyDescent="0.25">
      <c r="A526" s="56">
        <v>19620.75</v>
      </c>
      <c r="C526" s="56">
        <v>93904.48</v>
      </c>
      <c r="G526" s="65">
        <v>93904.48</v>
      </c>
      <c r="J526" s="64">
        <v>27853.5</v>
      </c>
      <c r="M526" s="67" t="s">
        <v>188</v>
      </c>
      <c r="N526" s="67" t="s">
        <v>50</v>
      </c>
      <c r="O526" s="64">
        <v>27853.5</v>
      </c>
    </row>
    <row r="527" spans="1:15" ht="15.75" x14ac:dyDescent="0.25">
      <c r="A527" s="56">
        <v>8632.5</v>
      </c>
      <c r="C527" s="56">
        <v>11432.56</v>
      </c>
      <c r="G527" s="65">
        <v>11432.56</v>
      </c>
      <c r="J527" s="64">
        <v>3831.8</v>
      </c>
      <c r="M527" s="67" t="s">
        <v>188</v>
      </c>
      <c r="N527" s="67" t="s">
        <v>50</v>
      </c>
      <c r="O527" s="64">
        <v>3831.8</v>
      </c>
    </row>
    <row r="528" spans="1:15" ht="15.75" x14ac:dyDescent="0.25">
      <c r="A528" s="56">
        <v>108942.8</v>
      </c>
      <c r="C528" s="56">
        <v>17204.400000000001</v>
      </c>
      <c r="G528" s="65">
        <v>17204.400000000001</v>
      </c>
      <c r="J528" s="64">
        <v>11966.25</v>
      </c>
      <c r="M528" s="67" t="s">
        <v>188</v>
      </c>
      <c r="N528" s="67" t="s">
        <v>50</v>
      </c>
      <c r="O528" s="64">
        <v>11966.25</v>
      </c>
    </row>
    <row r="529" spans="1:15" ht="15.75" x14ac:dyDescent="0.25">
      <c r="A529" s="56">
        <v>11445</v>
      </c>
      <c r="C529" s="56">
        <v>12210.48</v>
      </c>
      <c r="G529" s="65">
        <v>12210.48</v>
      </c>
      <c r="J529" s="64">
        <v>111657.75</v>
      </c>
      <c r="M529" s="67" t="s">
        <v>188</v>
      </c>
      <c r="N529" s="67" t="s">
        <v>11</v>
      </c>
      <c r="O529" s="64">
        <v>111657.75</v>
      </c>
    </row>
    <row r="530" spans="1:15" ht="15.75" x14ac:dyDescent="0.25">
      <c r="A530" s="56">
        <v>30371.9</v>
      </c>
      <c r="C530" s="56">
        <v>93904.48</v>
      </c>
      <c r="G530" s="65">
        <v>93904.48</v>
      </c>
      <c r="J530" s="64">
        <v>53763.6</v>
      </c>
      <c r="M530" s="67" t="s">
        <v>189</v>
      </c>
      <c r="N530" s="67" t="s">
        <v>50</v>
      </c>
      <c r="O530" s="64">
        <v>53763.6</v>
      </c>
    </row>
    <row r="531" spans="1:15" ht="15.75" x14ac:dyDescent="0.25">
      <c r="A531" s="56">
        <v>158208.75</v>
      </c>
      <c r="C531" s="56">
        <v>98596.479999999996</v>
      </c>
      <c r="G531" s="65">
        <v>98596.479999999996</v>
      </c>
      <c r="J531" s="64">
        <v>27456</v>
      </c>
      <c r="M531" s="67" t="s">
        <v>189</v>
      </c>
      <c r="N531" s="67" t="s">
        <v>50</v>
      </c>
      <c r="O531" s="64">
        <v>27456</v>
      </c>
    </row>
    <row r="532" spans="1:15" ht="15.75" x14ac:dyDescent="0.25">
      <c r="A532" s="56">
        <v>3231</v>
      </c>
      <c r="C532" s="56">
        <v>202864.5</v>
      </c>
      <c r="G532" s="65">
        <v>202864.5</v>
      </c>
      <c r="J532" s="64">
        <v>746234.5</v>
      </c>
      <c r="M532" s="67" t="s">
        <v>189</v>
      </c>
      <c r="N532" s="67" t="s">
        <v>50</v>
      </c>
      <c r="O532" s="64">
        <v>746234.5</v>
      </c>
    </row>
    <row r="533" spans="1:15" ht="15.75" x14ac:dyDescent="0.25">
      <c r="A533" s="56">
        <v>6985.92</v>
      </c>
      <c r="C533" s="56">
        <v>89141.64</v>
      </c>
      <c r="G533" s="65">
        <v>89141.64</v>
      </c>
      <c r="J533" s="64">
        <v>427087.3</v>
      </c>
      <c r="M533" s="67" t="s">
        <v>189</v>
      </c>
      <c r="N533" s="67" t="s">
        <v>50</v>
      </c>
      <c r="O533" s="64">
        <v>427087.3</v>
      </c>
    </row>
    <row r="534" spans="1:15" ht="15.75" x14ac:dyDescent="0.25">
      <c r="A534" s="56">
        <v>16668.32</v>
      </c>
      <c r="C534" s="56">
        <v>94961.2</v>
      </c>
      <c r="G534" s="65">
        <v>94961.2</v>
      </c>
      <c r="J534" s="64">
        <v>586271.55000000005</v>
      </c>
      <c r="M534" s="67" t="s">
        <v>190</v>
      </c>
      <c r="N534" s="67" t="s">
        <v>11</v>
      </c>
      <c r="O534" s="64">
        <v>586271.55000000005</v>
      </c>
    </row>
    <row r="535" spans="1:15" ht="15.75" x14ac:dyDescent="0.25">
      <c r="A535" s="58"/>
      <c r="C535" s="56">
        <v>4830</v>
      </c>
      <c r="G535" s="65">
        <v>4830</v>
      </c>
      <c r="J535" s="64">
        <v>51020.32</v>
      </c>
      <c r="M535" s="67" t="s">
        <v>190</v>
      </c>
      <c r="N535" s="67" t="s">
        <v>50</v>
      </c>
      <c r="O535" s="64">
        <v>51020.32</v>
      </c>
    </row>
    <row r="536" spans="1:15" x14ac:dyDescent="0.25">
      <c r="A536" s="58"/>
      <c r="C536" s="57"/>
      <c r="G536" s="64">
        <v>91893.95</v>
      </c>
      <c r="J536" s="64">
        <v>369251.2</v>
      </c>
      <c r="M536" s="67" t="s">
        <v>190</v>
      </c>
      <c r="N536" s="67" t="s">
        <v>11</v>
      </c>
      <c r="O536" s="64">
        <v>369251.2</v>
      </c>
    </row>
    <row r="537" spans="1:15" ht="15.75" x14ac:dyDescent="0.25">
      <c r="A537" s="56">
        <v>5223.75</v>
      </c>
      <c r="C537" s="56">
        <v>274386.15000000002</v>
      </c>
      <c r="G537" s="65">
        <v>274386.15000000002</v>
      </c>
      <c r="J537" s="64">
        <v>17512.2</v>
      </c>
      <c r="M537" s="67" t="s">
        <v>190</v>
      </c>
      <c r="N537" s="67" t="s">
        <v>11</v>
      </c>
      <c r="O537" s="64">
        <v>17512.2</v>
      </c>
    </row>
    <row r="538" spans="1:15" ht="15.75" x14ac:dyDescent="0.25">
      <c r="A538" s="56">
        <v>3177.3</v>
      </c>
      <c r="C538" s="56">
        <v>119136</v>
      </c>
      <c r="G538" s="65">
        <v>119136</v>
      </c>
      <c r="J538" s="64">
        <v>165056</v>
      </c>
      <c r="M538" s="67" t="s">
        <v>190</v>
      </c>
      <c r="N538" s="67" t="s">
        <v>50</v>
      </c>
      <c r="O538" s="64">
        <v>165056</v>
      </c>
    </row>
    <row r="539" spans="1:15" ht="15.75" x14ac:dyDescent="0.25">
      <c r="A539" s="56">
        <v>58352</v>
      </c>
      <c r="C539" s="56">
        <v>23667</v>
      </c>
      <c r="G539" s="65">
        <v>23667</v>
      </c>
      <c r="J539" s="64">
        <v>57874</v>
      </c>
      <c r="M539" s="67" t="s">
        <v>190</v>
      </c>
      <c r="N539" s="67" t="s">
        <v>50</v>
      </c>
      <c r="O539" s="64">
        <v>57874</v>
      </c>
    </row>
    <row r="540" spans="1:15" ht="15.75" x14ac:dyDescent="0.25">
      <c r="A540" s="56">
        <v>3976</v>
      </c>
      <c r="C540" s="57"/>
      <c r="G540" s="64">
        <v>7732</v>
      </c>
      <c r="J540" s="64">
        <v>83811.600000000006</v>
      </c>
      <c r="M540" s="67" t="s">
        <v>190</v>
      </c>
      <c r="N540" s="67" t="s">
        <v>50</v>
      </c>
      <c r="O540" s="64">
        <v>83811.600000000006</v>
      </c>
    </row>
    <row r="541" spans="1:15" ht="15.75" x14ac:dyDescent="0.25">
      <c r="A541" s="56">
        <v>9927.9</v>
      </c>
      <c r="C541" s="56">
        <v>104494.96</v>
      </c>
      <c r="G541" s="65">
        <v>104494.96</v>
      </c>
      <c r="J541" s="64">
        <v>11104.2</v>
      </c>
      <c r="M541" s="67" t="s">
        <v>190</v>
      </c>
      <c r="N541" s="67" t="s">
        <v>11</v>
      </c>
      <c r="O541" s="64">
        <v>11104.2</v>
      </c>
    </row>
    <row r="542" spans="1:15" ht="15.75" x14ac:dyDescent="0.25">
      <c r="A542" s="58"/>
      <c r="C542" s="56">
        <v>54672</v>
      </c>
      <c r="G542" s="65">
        <v>54672</v>
      </c>
      <c r="J542" s="64">
        <v>417207.96</v>
      </c>
      <c r="M542" s="67" t="s">
        <v>191</v>
      </c>
      <c r="N542" s="67" t="s">
        <v>50</v>
      </c>
      <c r="O542" s="64">
        <v>417207.96</v>
      </c>
    </row>
    <row r="543" spans="1:15" ht="15.75" x14ac:dyDescent="0.25">
      <c r="A543" s="56">
        <v>21960.75</v>
      </c>
      <c r="C543" s="56">
        <v>68467.5</v>
      </c>
      <c r="G543" s="65">
        <v>68467.5</v>
      </c>
      <c r="J543" s="64">
        <v>6627.45</v>
      </c>
      <c r="M543" s="67" t="s">
        <v>191</v>
      </c>
      <c r="N543" s="67" t="s">
        <v>50</v>
      </c>
      <c r="O543" s="64">
        <v>6627.45</v>
      </c>
    </row>
    <row r="544" spans="1:15" ht="15.75" x14ac:dyDescent="0.25">
      <c r="A544" s="56">
        <v>22875</v>
      </c>
      <c r="C544" s="56">
        <v>122574.25</v>
      </c>
      <c r="G544" s="65">
        <v>122574.25</v>
      </c>
      <c r="J544" s="64">
        <v>83811.600000000006</v>
      </c>
      <c r="M544" s="67" t="s">
        <v>191</v>
      </c>
      <c r="N544" s="67" t="s">
        <v>50</v>
      </c>
      <c r="O544" s="64">
        <v>83811.600000000006</v>
      </c>
    </row>
    <row r="545" spans="1:15" ht="15.75" x14ac:dyDescent="0.25">
      <c r="A545" s="56">
        <v>29444</v>
      </c>
      <c r="C545" s="57"/>
      <c r="G545" s="64">
        <v>13073.9</v>
      </c>
      <c r="J545" s="64">
        <v>32700</v>
      </c>
      <c r="M545" s="67" t="s">
        <v>191</v>
      </c>
      <c r="N545" s="67" t="s">
        <v>11</v>
      </c>
      <c r="O545" s="64">
        <v>32700</v>
      </c>
    </row>
    <row r="546" spans="1:15" ht="15.75" x14ac:dyDescent="0.25">
      <c r="A546" s="56">
        <v>4065</v>
      </c>
      <c r="C546" s="57"/>
      <c r="G546" s="64">
        <v>5964</v>
      </c>
      <c r="J546" s="64">
        <v>25475.200000000001</v>
      </c>
      <c r="M546" s="67" t="s">
        <v>191</v>
      </c>
      <c r="N546" s="67" t="s">
        <v>11</v>
      </c>
      <c r="O546" s="64">
        <v>25475.200000000001</v>
      </c>
    </row>
    <row r="547" spans="1:15" ht="15.75" x14ac:dyDescent="0.25">
      <c r="A547" s="58"/>
      <c r="C547" s="56">
        <v>15654.08</v>
      </c>
      <c r="G547" s="65">
        <v>15654.08</v>
      </c>
      <c r="J547" s="64">
        <v>257097.8</v>
      </c>
      <c r="M547" s="67" t="s">
        <v>191</v>
      </c>
      <c r="N547" s="67" t="s">
        <v>50</v>
      </c>
      <c r="O547" s="64">
        <v>257097.8</v>
      </c>
    </row>
    <row r="548" spans="1:15" ht="15.75" x14ac:dyDescent="0.25">
      <c r="A548" s="56">
        <v>162454.95000000001</v>
      </c>
      <c r="C548" s="56">
        <v>92176</v>
      </c>
      <c r="G548" s="65">
        <v>92176</v>
      </c>
      <c r="J548" s="64">
        <v>42226.6</v>
      </c>
      <c r="M548" s="67" t="s">
        <v>192</v>
      </c>
      <c r="N548" s="67" t="s">
        <v>50</v>
      </c>
      <c r="O548" s="64">
        <v>42226.6</v>
      </c>
    </row>
    <row r="549" spans="1:15" ht="15.75" x14ac:dyDescent="0.25">
      <c r="A549" s="56">
        <v>6135.75</v>
      </c>
      <c r="C549" s="56">
        <v>72336.929999999993</v>
      </c>
      <c r="G549" s="65">
        <v>72336.929999999993</v>
      </c>
      <c r="J549" s="64">
        <v>29879</v>
      </c>
      <c r="M549" s="67" t="s">
        <v>192</v>
      </c>
      <c r="N549" s="67" t="s">
        <v>50</v>
      </c>
      <c r="O549" s="64">
        <v>29879</v>
      </c>
    </row>
    <row r="550" spans="1:15" ht="15.75" x14ac:dyDescent="0.25">
      <c r="A550" s="56">
        <v>39987</v>
      </c>
      <c r="C550" s="56">
        <v>1302.1400000000001</v>
      </c>
      <c r="G550" s="65">
        <v>1302.1400000000001</v>
      </c>
      <c r="J550" s="64">
        <v>43759.28</v>
      </c>
      <c r="M550" s="67" t="s">
        <v>192</v>
      </c>
      <c r="N550" s="67" t="s">
        <v>11</v>
      </c>
      <c r="O550" s="64">
        <v>43759.28</v>
      </c>
    </row>
    <row r="551" spans="1:15" ht="15.75" x14ac:dyDescent="0.25">
      <c r="A551" s="56">
        <v>16536</v>
      </c>
      <c r="C551" s="56">
        <v>108913</v>
      </c>
      <c r="G551" s="65">
        <v>108913</v>
      </c>
      <c r="J551" s="64">
        <v>273101.40000000002</v>
      </c>
      <c r="M551" s="67" t="s">
        <v>193</v>
      </c>
      <c r="N551" s="67" t="s">
        <v>11</v>
      </c>
      <c r="O551" s="64">
        <v>273101.40000000002</v>
      </c>
    </row>
    <row r="552" spans="1:15" ht="15.75" x14ac:dyDescent="0.25">
      <c r="A552" s="56">
        <v>16881</v>
      </c>
      <c r="C552" s="57"/>
      <c r="G552" s="64">
        <v>17913.75</v>
      </c>
      <c r="J552" s="64">
        <v>1757752.3200000001</v>
      </c>
      <c r="M552" s="67" t="s">
        <v>193</v>
      </c>
      <c r="N552" s="67" t="s">
        <v>50</v>
      </c>
      <c r="O552" s="64">
        <v>1757752.3200000001</v>
      </c>
    </row>
    <row r="553" spans="1:15" ht="15.75" x14ac:dyDescent="0.25">
      <c r="A553" s="56">
        <v>79497</v>
      </c>
      <c r="C553" s="57"/>
      <c r="G553" s="64">
        <v>115038.7</v>
      </c>
      <c r="J553" s="64">
        <v>1050524</v>
      </c>
      <c r="M553" s="67" t="s">
        <v>193</v>
      </c>
      <c r="N553" s="67" t="s">
        <v>50</v>
      </c>
      <c r="O553" s="64">
        <v>1050524</v>
      </c>
    </row>
    <row r="554" spans="1:15" x14ac:dyDescent="0.25">
      <c r="A554" s="57"/>
      <c r="C554" s="57"/>
      <c r="G554" s="64">
        <v>40475.68</v>
      </c>
      <c r="J554" s="64">
        <v>12087</v>
      </c>
      <c r="M554" s="67" t="s">
        <v>193</v>
      </c>
      <c r="N554" s="67" t="s">
        <v>50</v>
      </c>
      <c r="O554" s="64">
        <v>12087</v>
      </c>
    </row>
    <row r="555" spans="1:15" ht="15.75" x14ac:dyDescent="0.25">
      <c r="A555" s="58"/>
      <c r="C555" s="56">
        <v>9612.4</v>
      </c>
      <c r="G555" s="65">
        <v>9612.4</v>
      </c>
      <c r="J555" s="64">
        <v>250888</v>
      </c>
      <c r="M555" s="67" t="s">
        <v>193</v>
      </c>
      <c r="N555" s="67" t="s">
        <v>50</v>
      </c>
      <c r="O555" s="64">
        <v>250888</v>
      </c>
    </row>
    <row r="556" spans="1:15" ht="15.75" x14ac:dyDescent="0.25">
      <c r="A556" s="56">
        <v>28057.5</v>
      </c>
      <c r="C556" s="56">
        <v>3428.56</v>
      </c>
      <c r="G556" s="65">
        <v>3428.56</v>
      </c>
      <c r="J556" s="64">
        <v>540266.80000000005</v>
      </c>
      <c r="M556" s="67" t="s">
        <v>193</v>
      </c>
      <c r="N556" s="67" t="s">
        <v>50</v>
      </c>
      <c r="O556" s="64">
        <v>540266.80000000005</v>
      </c>
    </row>
    <row r="557" spans="1:15" ht="15.75" x14ac:dyDescent="0.25">
      <c r="A557" s="56">
        <v>39957.599999999999</v>
      </c>
      <c r="C557" s="56">
        <v>880485</v>
      </c>
      <c r="G557" s="65">
        <v>880485</v>
      </c>
      <c r="J557" s="64">
        <v>286120.2</v>
      </c>
      <c r="M557" s="67" t="s">
        <v>193</v>
      </c>
      <c r="N557" s="67" t="s">
        <v>50</v>
      </c>
      <c r="O557" s="64">
        <v>286120.2</v>
      </c>
    </row>
    <row r="558" spans="1:15" ht="15.75" x14ac:dyDescent="0.25">
      <c r="A558" s="56">
        <v>10521.6</v>
      </c>
      <c r="C558" s="56">
        <v>15330</v>
      </c>
      <c r="G558" s="65">
        <v>15330</v>
      </c>
      <c r="J558" s="64">
        <v>30822.400000000001</v>
      </c>
      <c r="M558" s="67" t="s">
        <v>193</v>
      </c>
      <c r="N558" s="67" t="s">
        <v>11</v>
      </c>
      <c r="O558" s="64">
        <v>30822.400000000001</v>
      </c>
    </row>
    <row r="559" spans="1:15" ht="15.75" x14ac:dyDescent="0.25">
      <c r="A559" s="56">
        <v>28248.3</v>
      </c>
      <c r="C559" s="56">
        <v>147803.96</v>
      </c>
      <c r="G559" s="65">
        <v>147803.96</v>
      </c>
      <c r="J559" s="64">
        <v>155394</v>
      </c>
      <c r="M559" s="67" t="s">
        <v>193</v>
      </c>
      <c r="N559" s="67" t="s">
        <v>50</v>
      </c>
      <c r="O559" s="64">
        <v>155394</v>
      </c>
    </row>
    <row r="560" spans="1:15" ht="15.75" x14ac:dyDescent="0.25">
      <c r="A560" s="56">
        <v>69789</v>
      </c>
      <c r="C560" s="56">
        <v>65913.399999999994</v>
      </c>
      <c r="G560" s="65">
        <v>65913.399999999994</v>
      </c>
      <c r="J560" s="64">
        <v>182634.4</v>
      </c>
      <c r="M560" s="67" t="s">
        <v>194</v>
      </c>
      <c r="N560" s="67" t="s">
        <v>11</v>
      </c>
      <c r="O560" s="64">
        <v>182634.4</v>
      </c>
    </row>
    <row r="561" spans="1:15" ht="15.75" x14ac:dyDescent="0.25">
      <c r="A561" s="56">
        <v>24192</v>
      </c>
      <c r="C561" s="56">
        <v>23907.200000000001</v>
      </c>
      <c r="G561" s="65">
        <v>23907.200000000001</v>
      </c>
      <c r="J561" s="64">
        <v>30182.400000000001</v>
      </c>
      <c r="M561" s="67" t="s">
        <v>194</v>
      </c>
      <c r="N561" s="67" t="s">
        <v>50</v>
      </c>
      <c r="O561" s="64">
        <v>30182.400000000001</v>
      </c>
    </row>
    <row r="562" spans="1:15" ht="15.75" x14ac:dyDescent="0.25">
      <c r="A562" s="56">
        <v>13683.04</v>
      </c>
      <c r="C562" s="56">
        <v>84540.2</v>
      </c>
      <c r="G562" s="65">
        <v>84540.2</v>
      </c>
      <c r="J562" s="64">
        <v>319960</v>
      </c>
      <c r="M562" s="67" t="s">
        <v>194</v>
      </c>
      <c r="N562" s="67" t="s">
        <v>50</v>
      </c>
      <c r="O562" s="64">
        <v>319960</v>
      </c>
    </row>
    <row r="563" spans="1:15" ht="15.75" x14ac:dyDescent="0.25">
      <c r="A563" s="56">
        <v>16050.44</v>
      </c>
      <c r="C563" s="56">
        <v>31239.119999999999</v>
      </c>
      <c r="G563" s="65">
        <v>31239.119999999999</v>
      </c>
      <c r="J563" s="64">
        <v>258704.5</v>
      </c>
      <c r="M563" s="67" t="s">
        <v>195</v>
      </c>
      <c r="N563" s="67" t="s">
        <v>50</v>
      </c>
      <c r="O563" s="64">
        <v>258704.5</v>
      </c>
    </row>
    <row r="564" spans="1:15" ht="15.75" x14ac:dyDescent="0.25">
      <c r="A564" s="56">
        <v>163194</v>
      </c>
      <c r="C564" s="56">
        <v>90537</v>
      </c>
      <c r="G564" s="65">
        <v>90537</v>
      </c>
      <c r="J564" s="64">
        <v>153200.1</v>
      </c>
      <c r="M564" s="67" t="s">
        <v>195</v>
      </c>
      <c r="N564" s="67" t="s">
        <v>50</v>
      </c>
      <c r="O564" s="64">
        <v>153200.1</v>
      </c>
    </row>
    <row r="565" spans="1:15" ht="15.75" x14ac:dyDescent="0.25">
      <c r="A565" s="56">
        <v>52345</v>
      </c>
      <c r="C565" s="57"/>
      <c r="G565" s="64">
        <v>20447.7</v>
      </c>
      <c r="J565" s="64">
        <v>51934.400000000001</v>
      </c>
      <c r="M565" s="67" t="s">
        <v>195</v>
      </c>
      <c r="N565" s="67" t="s">
        <v>50</v>
      </c>
      <c r="O565" s="64">
        <v>51934.400000000001</v>
      </c>
    </row>
    <row r="566" spans="1:15" ht="15.75" x14ac:dyDescent="0.25">
      <c r="A566" s="56">
        <v>18331.2</v>
      </c>
      <c r="C566" s="56">
        <v>144553.68</v>
      </c>
      <c r="G566" s="65">
        <v>144550.5</v>
      </c>
      <c r="J566" s="64">
        <v>368128.2</v>
      </c>
      <c r="M566" s="67" t="s">
        <v>195</v>
      </c>
      <c r="N566" s="67" t="s">
        <v>50</v>
      </c>
      <c r="O566" s="64">
        <v>368128.2</v>
      </c>
    </row>
    <row r="567" spans="1:15" ht="15.75" x14ac:dyDescent="0.25">
      <c r="A567" s="56">
        <v>183753.60000000001</v>
      </c>
      <c r="C567" s="57"/>
      <c r="G567" s="64">
        <v>26975.200000000001</v>
      </c>
      <c r="J567" s="64">
        <v>12765.6</v>
      </c>
      <c r="M567" s="67" t="s">
        <v>195</v>
      </c>
      <c r="N567" s="67" t="s">
        <v>11</v>
      </c>
      <c r="O567" s="64">
        <v>12765.6</v>
      </c>
    </row>
    <row r="568" spans="1:15" x14ac:dyDescent="0.25">
      <c r="A568" s="57"/>
      <c r="C568" s="57"/>
      <c r="G568" s="64">
        <v>1742.3</v>
      </c>
      <c r="J568" s="64">
        <v>26222.400000000001</v>
      </c>
      <c r="M568" s="67" t="s">
        <v>196</v>
      </c>
      <c r="N568" s="67" t="s">
        <v>50</v>
      </c>
      <c r="O568" s="64">
        <v>26222.400000000001</v>
      </c>
    </row>
    <row r="569" spans="1:15" ht="15.75" x14ac:dyDescent="0.25">
      <c r="A569" s="56">
        <v>75380</v>
      </c>
      <c r="C569" s="57"/>
      <c r="G569" s="64">
        <v>55100</v>
      </c>
      <c r="J569" s="64">
        <v>47030.9</v>
      </c>
      <c r="M569" s="67" t="s">
        <v>196</v>
      </c>
      <c r="N569" s="67" t="s">
        <v>11</v>
      </c>
      <c r="O569" s="64">
        <v>47030.9</v>
      </c>
    </row>
    <row r="570" spans="1:15" ht="15.75" x14ac:dyDescent="0.25">
      <c r="A570" s="56">
        <v>28159.200000000001</v>
      </c>
      <c r="C570" s="56">
        <v>53256</v>
      </c>
      <c r="G570" s="65">
        <v>53256</v>
      </c>
      <c r="J570" s="64">
        <v>35603.1</v>
      </c>
      <c r="M570" s="67" t="s">
        <v>196</v>
      </c>
      <c r="N570" s="67" t="s">
        <v>50</v>
      </c>
      <c r="O570" s="64">
        <v>35603.1</v>
      </c>
    </row>
    <row r="571" spans="1:15" ht="15.75" x14ac:dyDescent="0.25">
      <c r="A571" s="56">
        <v>14067.2</v>
      </c>
      <c r="C571" s="56">
        <v>67259.360000000001</v>
      </c>
      <c r="G571" s="65">
        <v>67259.360000000001</v>
      </c>
      <c r="J571" s="64">
        <v>41658.639999999999</v>
      </c>
      <c r="M571" s="67" t="s">
        <v>196</v>
      </c>
      <c r="N571" s="67" t="s">
        <v>50</v>
      </c>
      <c r="O571" s="64">
        <v>41658.639999999999</v>
      </c>
    </row>
    <row r="572" spans="1:15" ht="15.75" x14ac:dyDescent="0.25">
      <c r="A572" s="58"/>
      <c r="C572" s="56">
        <v>12727.28</v>
      </c>
      <c r="G572" s="65">
        <v>12727.28</v>
      </c>
      <c r="J572" s="64">
        <v>3189</v>
      </c>
      <c r="M572" s="67" t="s">
        <v>196</v>
      </c>
      <c r="N572" s="67" t="s">
        <v>50</v>
      </c>
      <c r="O572" s="64">
        <v>3189</v>
      </c>
    </row>
    <row r="573" spans="1:15" ht="15.75" x14ac:dyDescent="0.25">
      <c r="A573" s="58"/>
      <c r="C573" s="56">
        <v>110670</v>
      </c>
      <c r="G573" s="65">
        <v>110670</v>
      </c>
      <c r="J573" s="64">
        <v>13566</v>
      </c>
      <c r="M573" s="67" t="s">
        <v>196</v>
      </c>
      <c r="N573" s="67" t="s">
        <v>50</v>
      </c>
      <c r="O573" s="64">
        <v>13566</v>
      </c>
    </row>
    <row r="574" spans="1:15" ht="15.75" x14ac:dyDescent="0.25">
      <c r="A574" s="56">
        <v>853296.75</v>
      </c>
      <c r="C574" s="56">
        <v>72805.600000000006</v>
      </c>
      <c r="G574" s="65">
        <v>72805.600000000006</v>
      </c>
      <c r="J574" s="64">
        <v>75388.800000000003</v>
      </c>
      <c r="M574" s="67" t="s">
        <v>196</v>
      </c>
      <c r="N574" s="67" t="s">
        <v>50</v>
      </c>
      <c r="O574" s="64">
        <v>75388.800000000003</v>
      </c>
    </row>
    <row r="575" spans="1:15" ht="15.75" x14ac:dyDescent="0.25">
      <c r="A575" s="56">
        <v>166587</v>
      </c>
      <c r="C575" s="56">
        <v>8972.44</v>
      </c>
      <c r="G575" s="65">
        <v>8972.44</v>
      </c>
      <c r="J575" s="64">
        <v>2412.3000000000002</v>
      </c>
      <c r="M575" s="67" t="s">
        <v>196</v>
      </c>
      <c r="N575" s="67" t="s">
        <v>50</v>
      </c>
      <c r="O575" s="64">
        <v>2412.3000000000002</v>
      </c>
    </row>
    <row r="576" spans="1:15" ht="15.75" x14ac:dyDescent="0.25">
      <c r="A576" s="56">
        <v>64904.25</v>
      </c>
      <c r="C576" s="56">
        <v>109936.4</v>
      </c>
      <c r="G576" s="65">
        <v>109936.4</v>
      </c>
      <c r="J576" s="64">
        <v>110089.60000000001</v>
      </c>
      <c r="M576" s="67" t="s">
        <v>197</v>
      </c>
      <c r="N576" s="67" t="s">
        <v>11</v>
      </c>
      <c r="O576" s="64">
        <v>110089.60000000001</v>
      </c>
    </row>
    <row r="577" spans="1:15" ht="15.75" x14ac:dyDescent="0.25">
      <c r="A577" s="58"/>
      <c r="C577" s="56">
        <v>66423</v>
      </c>
      <c r="G577" s="65">
        <v>66423</v>
      </c>
      <c r="J577" s="64">
        <v>25475.200000000001</v>
      </c>
      <c r="M577" s="67" t="s">
        <v>197</v>
      </c>
      <c r="N577" s="67" t="s">
        <v>11</v>
      </c>
      <c r="O577" s="64">
        <v>25475.200000000001</v>
      </c>
    </row>
    <row r="578" spans="1:15" ht="15.75" x14ac:dyDescent="0.25">
      <c r="A578" s="58"/>
      <c r="C578" s="56">
        <v>37306.5</v>
      </c>
      <c r="G578" s="65">
        <v>37306.5</v>
      </c>
      <c r="J578" s="64">
        <v>47104.800000000003</v>
      </c>
      <c r="M578" s="67" t="s">
        <v>197</v>
      </c>
      <c r="N578" s="67" t="s">
        <v>11</v>
      </c>
      <c r="O578" s="64">
        <v>47104.800000000003</v>
      </c>
    </row>
    <row r="579" spans="1:15" ht="15.75" x14ac:dyDescent="0.25">
      <c r="A579" s="56">
        <v>51862.5</v>
      </c>
      <c r="C579" s="56">
        <v>364560</v>
      </c>
      <c r="G579" s="65">
        <v>364560</v>
      </c>
      <c r="J579" s="64">
        <v>1441934</v>
      </c>
      <c r="M579" s="67" t="s">
        <v>197</v>
      </c>
      <c r="N579" s="67" t="s">
        <v>50</v>
      </c>
      <c r="O579" s="64">
        <v>1441934</v>
      </c>
    </row>
    <row r="580" spans="1:15" ht="15.75" x14ac:dyDescent="0.25">
      <c r="A580" s="56">
        <v>37440.639999999999</v>
      </c>
      <c r="C580" s="56">
        <v>7557.2</v>
      </c>
      <c r="G580" s="65">
        <v>7557.2</v>
      </c>
      <c r="J580" s="64">
        <v>786138.32</v>
      </c>
      <c r="M580" s="67" t="s">
        <v>197</v>
      </c>
      <c r="N580" s="67" t="s">
        <v>11</v>
      </c>
      <c r="O580" s="64">
        <v>786138.32</v>
      </c>
    </row>
    <row r="581" spans="1:15" x14ac:dyDescent="0.25">
      <c r="A581" s="58"/>
      <c r="C581" s="57"/>
      <c r="G581" s="64">
        <v>2016.8</v>
      </c>
      <c r="J581" s="64">
        <v>300148.96000000002</v>
      </c>
      <c r="M581" s="67" t="s">
        <v>197</v>
      </c>
      <c r="N581" s="67" t="s">
        <v>50</v>
      </c>
      <c r="O581" s="64">
        <v>300148.96000000002</v>
      </c>
    </row>
    <row r="582" spans="1:15" ht="15.75" x14ac:dyDescent="0.25">
      <c r="A582" s="56">
        <v>1784623.5</v>
      </c>
      <c r="C582" s="56">
        <v>317259.24</v>
      </c>
      <c r="G582" s="65">
        <v>317259.24</v>
      </c>
      <c r="J582" s="64">
        <v>103960.95</v>
      </c>
      <c r="M582" s="67" t="s">
        <v>197</v>
      </c>
      <c r="N582" s="67" t="s">
        <v>50</v>
      </c>
      <c r="O582" s="64">
        <v>103960.95</v>
      </c>
    </row>
    <row r="583" spans="1:15" ht="15.75" x14ac:dyDescent="0.25">
      <c r="A583" s="56">
        <v>84544.5</v>
      </c>
      <c r="C583" s="56">
        <v>208535.6</v>
      </c>
      <c r="G583" s="65">
        <v>208535.6</v>
      </c>
      <c r="J583" s="64">
        <v>270636.3</v>
      </c>
      <c r="M583" s="67" t="s">
        <v>198</v>
      </c>
      <c r="N583" s="67" t="s">
        <v>50</v>
      </c>
      <c r="O583" s="64">
        <v>270636.3</v>
      </c>
    </row>
    <row r="584" spans="1:15" ht="15.75" x14ac:dyDescent="0.25">
      <c r="A584" s="61">
        <v>852.8</v>
      </c>
      <c r="C584" s="56">
        <v>12225</v>
      </c>
      <c r="G584" s="65">
        <v>12225</v>
      </c>
      <c r="J584" s="64">
        <v>1692570.6</v>
      </c>
      <c r="M584" s="67" t="s">
        <v>198</v>
      </c>
      <c r="N584" s="67" t="s">
        <v>50</v>
      </c>
      <c r="O584" s="64">
        <v>1692570.6</v>
      </c>
    </row>
    <row r="585" spans="1:15" ht="15.75" x14ac:dyDescent="0.25">
      <c r="A585" s="56">
        <v>13529.6</v>
      </c>
      <c r="C585" s="57"/>
      <c r="G585" s="64">
        <v>42147.02</v>
      </c>
      <c r="J585" s="64">
        <v>33102.199999999997</v>
      </c>
      <c r="M585" s="67" t="s">
        <v>198</v>
      </c>
      <c r="N585" s="67" t="s">
        <v>11</v>
      </c>
      <c r="O585" s="64">
        <v>33102.199999999997</v>
      </c>
    </row>
    <row r="586" spans="1:15" x14ac:dyDescent="0.25">
      <c r="A586" s="58"/>
      <c r="C586" s="57"/>
      <c r="G586" s="64">
        <v>6307.5</v>
      </c>
      <c r="J586" s="64">
        <v>47537.1</v>
      </c>
      <c r="M586" s="67" t="s">
        <v>198</v>
      </c>
      <c r="N586" s="67" t="s">
        <v>50</v>
      </c>
      <c r="O586" s="64">
        <v>47537.1</v>
      </c>
    </row>
    <row r="587" spans="1:15" x14ac:dyDescent="0.25">
      <c r="A587" s="58"/>
      <c r="C587" s="57"/>
      <c r="G587" s="64">
        <v>5135.2</v>
      </c>
      <c r="J587" s="64">
        <v>24027</v>
      </c>
      <c r="M587" s="67" t="s">
        <v>198</v>
      </c>
      <c r="N587" s="67" t="s">
        <v>50</v>
      </c>
      <c r="O587" s="64">
        <v>24027</v>
      </c>
    </row>
    <row r="588" spans="1:15" x14ac:dyDescent="0.25">
      <c r="A588" s="58"/>
      <c r="C588" s="57"/>
      <c r="G588" s="64">
        <v>1624350</v>
      </c>
      <c r="J588" s="64">
        <v>1528.5</v>
      </c>
      <c r="M588" s="67" t="s">
        <v>198</v>
      </c>
      <c r="N588" s="67" t="s">
        <v>50</v>
      </c>
      <c r="O588" s="64">
        <v>1528.5</v>
      </c>
    </row>
    <row r="589" spans="1:15" ht="15.75" x14ac:dyDescent="0.25">
      <c r="A589" s="56">
        <v>16921.599999999999</v>
      </c>
      <c r="C589" s="56">
        <v>24885.599999999999</v>
      </c>
      <c r="G589" s="65">
        <v>24885.599999999999</v>
      </c>
      <c r="J589" s="64">
        <v>191945</v>
      </c>
      <c r="M589" s="67" t="s">
        <v>198</v>
      </c>
      <c r="N589" s="67" t="s">
        <v>50</v>
      </c>
      <c r="O589" s="64">
        <v>191945</v>
      </c>
    </row>
    <row r="590" spans="1:15" ht="15.75" x14ac:dyDescent="0.25">
      <c r="A590" s="58"/>
      <c r="C590" s="56">
        <v>27048.799999999999</v>
      </c>
      <c r="G590" s="65">
        <v>27048.799999999999</v>
      </c>
      <c r="J590" s="64">
        <v>135177.5</v>
      </c>
      <c r="M590" s="67" t="s">
        <v>198</v>
      </c>
      <c r="N590" s="67" t="s">
        <v>50</v>
      </c>
      <c r="O590" s="64">
        <v>135177.5</v>
      </c>
    </row>
    <row r="591" spans="1:15" x14ac:dyDescent="0.25">
      <c r="A591" s="58"/>
      <c r="C591" s="57"/>
      <c r="G591" s="64">
        <v>608790</v>
      </c>
      <c r="J591" s="64">
        <v>57787.360000000001</v>
      </c>
      <c r="M591" s="67" t="s">
        <v>198</v>
      </c>
      <c r="N591" s="67" t="s">
        <v>50</v>
      </c>
      <c r="O591" s="64">
        <v>57787.360000000001</v>
      </c>
    </row>
    <row r="592" spans="1:15" x14ac:dyDescent="0.25">
      <c r="A592" s="58"/>
      <c r="C592" s="57"/>
      <c r="G592" s="64">
        <v>608790</v>
      </c>
      <c r="J592" s="64">
        <v>148069.6</v>
      </c>
      <c r="M592" s="67" t="s">
        <v>199</v>
      </c>
      <c r="N592" s="67" t="s">
        <v>50</v>
      </c>
      <c r="O592" s="64">
        <v>148069.6</v>
      </c>
    </row>
    <row r="593" spans="1:15" ht="15.75" x14ac:dyDescent="0.25">
      <c r="A593" s="56">
        <v>105227.7</v>
      </c>
      <c r="C593" s="57"/>
      <c r="G593" s="64">
        <v>87456</v>
      </c>
      <c r="J593" s="64">
        <v>4701780.54</v>
      </c>
      <c r="M593" s="67" t="s">
        <v>200</v>
      </c>
      <c r="N593" s="67" t="s">
        <v>50</v>
      </c>
      <c r="O593" s="64">
        <v>4701780.54</v>
      </c>
    </row>
    <row r="594" spans="1:15" ht="15.75" x14ac:dyDescent="0.25">
      <c r="A594" s="56">
        <v>26171.5</v>
      </c>
      <c r="C594" s="56">
        <v>65395.6</v>
      </c>
      <c r="G594" s="65">
        <v>65395.6</v>
      </c>
      <c r="J594" s="64">
        <v>87362</v>
      </c>
      <c r="M594" s="67" t="s">
        <v>200</v>
      </c>
      <c r="N594" s="67" t="s">
        <v>50</v>
      </c>
      <c r="O594" s="64">
        <v>87362</v>
      </c>
    </row>
    <row r="595" spans="1:15" ht="15.75" x14ac:dyDescent="0.25">
      <c r="A595" s="56">
        <v>3236.08</v>
      </c>
      <c r="C595" s="57"/>
      <c r="G595" s="64">
        <v>35472</v>
      </c>
      <c r="J595" s="64">
        <v>37158</v>
      </c>
      <c r="M595" s="67" t="s">
        <v>200</v>
      </c>
      <c r="N595" s="67" t="s">
        <v>11</v>
      </c>
      <c r="O595" s="64">
        <v>37158</v>
      </c>
    </row>
    <row r="596" spans="1:15" ht="15.75" x14ac:dyDescent="0.25">
      <c r="A596" s="56">
        <v>197406</v>
      </c>
      <c r="C596" s="56">
        <v>20007</v>
      </c>
      <c r="G596" s="65">
        <v>20007</v>
      </c>
      <c r="J596" s="64">
        <v>22798.799999999999</v>
      </c>
      <c r="M596" s="67" t="s">
        <v>200</v>
      </c>
      <c r="N596" s="67" t="s">
        <v>50</v>
      </c>
      <c r="O596" s="64">
        <v>22798.799999999999</v>
      </c>
    </row>
    <row r="597" spans="1:15" ht="15.75" x14ac:dyDescent="0.25">
      <c r="A597" s="56">
        <v>104985.2</v>
      </c>
      <c r="C597" s="56">
        <v>7643.86</v>
      </c>
      <c r="G597" s="65">
        <v>7643.86</v>
      </c>
      <c r="J597" s="64">
        <v>4848720.54</v>
      </c>
      <c r="M597" s="67" t="s">
        <v>201</v>
      </c>
      <c r="N597" s="67" t="s">
        <v>50</v>
      </c>
      <c r="O597" s="64">
        <v>4848720.54</v>
      </c>
    </row>
    <row r="598" spans="1:15" ht="15.75" x14ac:dyDescent="0.25">
      <c r="A598" s="56">
        <v>7969.5</v>
      </c>
      <c r="C598" s="56">
        <v>23755.919999999998</v>
      </c>
      <c r="G598" s="65">
        <v>23755.919999999998</v>
      </c>
      <c r="J598" s="64">
        <v>21220.74</v>
      </c>
      <c r="M598" s="67" t="s">
        <v>201</v>
      </c>
      <c r="N598" s="67" t="s">
        <v>50</v>
      </c>
      <c r="O598" s="64">
        <v>21220.74</v>
      </c>
    </row>
    <row r="599" spans="1:15" ht="15.75" x14ac:dyDescent="0.25">
      <c r="A599" s="58"/>
      <c r="C599" s="56">
        <v>29982.12</v>
      </c>
      <c r="G599" s="65">
        <v>29982.12</v>
      </c>
      <c r="J599" s="64">
        <v>43917.599999999999</v>
      </c>
      <c r="M599" s="67" t="s">
        <v>201</v>
      </c>
      <c r="N599" s="67" t="s">
        <v>50</v>
      </c>
      <c r="O599" s="64">
        <v>43917.599999999999</v>
      </c>
    </row>
    <row r="600" spans="1:15" ht="15.75" x14ac:dyDescent="0.25">
      <c r="A600" s="56">
        <v>38047</v>
      </c>
      <c r="C600" s="56">
        <v>82208.2</v>
      </c>
      <c r="G600" s="65">
        <v>82208.2</v>
      </c>
      <c r="J600" s="64">
        <v>54866</v>
      </c>
      <c r="M600" s="67" t="s">
        <v>201</v>
      </c>
      <c r="N600" s="67" t="s">
        <v>50</v>
      </c>
      <c r="O600" s="64">
        <v>54866</v>
      </c>
    </row>
    <row r="601" spans="1:15" ht="15.75" x14ac:dyDescent="0.25">
      <c r="A601" s="56">
        <v>5093.5200000000004</v>
      </c>
      <c r="C601" s="56">
        <v>44858.8</v>
      </c>
      <c r="G601" s="65">
        <v>44858.8</v>
      </c>
      <c r="J601" s="64">
        <v>943178</v>
      </c>
      <c r="M601" s="67" t="s">
        <v>201</v>
      </c>
      <c r="N601" s="67" t="s">
        <v>50</v>
      </c>
      <c r="O601" s="64">
        <v>943178</v>
      </c>
    </row>
    <row r="602" spans="1:15" ht="15.75" x14ac:dyDescent="0.25">
      <c r="A602" s="56">
        <v>106553.60000000001</v>
      </c>
      <c r="C602" s="56">
        <v>108883.76</v>
      </c>
      <c r="G602" s="65">
        <v>108883.76</v>
      </c>
      <c r="J602" s="64">
        <v>49795.199999999997</v>
      </c>
      <c r="M602" s="67" t="s">
        <v>202</v>
      </c>
      <c r="N602" s="67" t="s">
        <v>50</v>
      </c>
      <c r="O602" s="64">
        <v>49795.199999999997</v>
      </c>
    </row>
    <row r="603" spans="1:15" ht="15.75" x14ac:dyDescent="0.25">
      <c r="A603" s="56">
        <v>686550.27</v>
      </c>
      <c r="C603" s="56">
        <v>53244</v>
      </c>
      <c r="G603" s="65">
        <v>53244</v>
      </c>
      <c r="J603" s="64">
        <v>121291.2</v>
      </c>
      <c r="M603" s="67" t="s">
        <v>202</v>
      </c>
      <c r="N603" s="67" t="s">
        <v>50</v>
      </c>
      <c r="O603" s="64">
        <v>121291.2</v>
      </c>
    </row>
    <row r="604" spans="1:15" ht="15.75" x14ac:dyDescent="0.25">
      <c r="A604" s="56">
        <v>122889.8</v>
      </c>
      <c r="C604" s="57"/>
      <c r="G604" s="64">
        <v>4362.2</v>
      </c>
      <c r="J604" s="64">
        <v>1435.5</v>
      </c>
      <c r="M604" s="67" t="s">
        <v>202</v>
      </c>
      <c r="N604" s="67" t="s">
        <v>50</v>
      </c>
      <c r="O604" s="64">
        <v>1435.5</v>
      </c>
    </row>
    <row r="605" spans="1:15" ht="15.75" x14ac:dyDescent="0.25">
      <c r="A605" s="58"/>
      <c r="C605" s="56">
        <v>216280.4</v>
      </c>
      <c r="G605" s="65">
        <v>216280.4</v>
      </c>
      <c r="J605" s="64">
        <v>40296</v>
      </c>
      <c r="M605" s="67" t="s">
        <v>202</v>
      </c>
      <c r="N605" s="67" t="s">
        <v>50</v>
      </c>
      <c r="O605" s="64">
        <v>40296</v>
      </c>
    </row>
    <row r="606" spans="1:15" x14ac:dyDescent="0.25">
      <c r="A606" s="58"/>
      <c r="C606" s="57"/>
      <c r="G606" s="64">
        <v>47598</v>
      </c>
      <c r="J606" s="64">
        <v>47880.800000000003</v>
      </c>
      <c r="M606" s="67" t="s">
        <v>202</v>
      </c>
      <c r="N606" s="67" t="s">
        <v>50</v>
      </c>
      <c r="O606" s="64">
        <v>47880.800000000003</v>
      </c>
    </row>
    <row r="607" spans="1:15" ht="15.75" x14ac:dyDescent="0.25">
      <c r="A607" s="56">
        <v>27676.5</v>
      </c>
      <c r="C607" s="56">
        <v>608790</v>
      </c>
      <c r="G607" s="65">
        <v>608790</v>
      </c>
      <c r="J607" s="64">
        <v>30925</v>
      </c>
      <c r="M607" s="67" t="s">
        <v>202</v>
      </c>
      <c r="N607" s="67" t="s">
        <v>50</v>
      </c>
      <c r="O607" s="64">
        <v>30925</v>
      </c>
    </row>
    <row r="608" spans="1:15" ht="15.75" x14ac:dyDescent="0.25">
      <c r="A608" s="56">
        <v>103209</v>
      </c>
      <c r="C608" s="57"/>
      <c r="G608" s="64">
        <v>11040</v>
      </c>
      <c r="J608" s="64">
        <v>174128</v>
      </c>
      <c r="M608" s="67" t="s">
        <v>202</v>
      </c>
      <c r="N608" s="67" t="s">
        <v>50</v>
      </c>
      <c r="O608" s="64">
        <v>174128</v>
      </c>
    </row>
    <row r="609" spans="1:15" ht="15.75" x14ac:dyDescent="0.25">
      <c r="A609" s="56">
        <v>70616</v>
      </c>
      <c r="C609" s="56">
        <v>20824</v>
      </c>
      <c r="G609" s="65">
        <v>20824</v>
      </c>
      <c r="J609" s="64">
        <v>26661.599999999999</v>
      </c>
      <c r="M609" s="67" t="s">
        <v>202</v>
      </c>
      <c r="N609" s="67" t="s">
        <v>50</v>
      </c>
      <c r="O609" s="64">
        <v>26661.599999999999</v>
      </c>
    </row>
    <row r="610" spans="1:15" ht="15.75" x14ac:dyDescent="0.25">
      <c r="A610" s="56">
        <v>32712</v>
      </c>
      <c r="C610" s="57"/>
      <c r="G610" s="64">
        <v>17896</v>
      </c>
      <c r="J610" s="64">
        <v>46247.4</v>
      </c>
      <c r="M610" s="67" t="s">
        <v>202</v>
      </c>
      <c r="N610" s="67" t="s">
        <v>11</v>
      </c>
      <c r="O610" s="64">
        <v>46247.4</v>
      </c>
    </row>
    <row r="611" spans="1:15" ht="15.75" x14ac:dyDescent="0.25">
      <c r="A611" s="56">
        <v>271523.25</v>
      </c>
      <c r="C611" s="56">
        <v>160359.5</v>
      </c>
      <c r="G611" s="65">
        <v>160359.5</v>
      </c>
      <c r="J611" s="64">
        <v>30203.8</v>
      </c>
      <c r="M611" s="67" t="s">
        <v>202</v>
      </c>
      <c r="N611" s="67" t="s">
        <v>50</v>
      </c>
      <c r="O611" s="64">
        <v>30203.8</v>
      </c>
    </row>
    <row r="612" spans="1:15" ht="15.75" x14ac:dyDescent="0.25">
      <c r="A612" s="56">
        <v>38592</v>
      </c>
      <c r="C612" s="56">
        <v>144520</v>
      </c>
      <c r="G612" s="65">
        <v>144520</v>
      </c>
      <c r="J612" s="64">
        <v>4065</v>
      </c>
      <c r="M612" s="67" t="s">
        <v>202</v>
      </c>
      <c r="N612" s="67" t="s">
        <v>50</v>
      </c>
      <c r="O612" s="64">
        <v>4065</v>
      </c>
    </row>
    <row r="613" spans="1:15" x14ac:dyDescent="0.25">
      <c r="A613" s="58"/>
      <c r="C613" s="57"/>
      <c r="G613" s="64">
        <v>6639.92</v>
      </c>
      <c r="J613" s="64">
        <v>9387</v>
      </c>
      <c r="M613" s="67" t="s">
        <v>202</v>
      </c>
      <c r="N613" s="67" t="s">
        <v>50</v>
      </c>
      <c r="O613" s="64">
        <v>9387</v>
      </c>
    </row>
    <row r="614" spans="1:15" x14ac:dyDescent="0.25">
      <c r="A614" s="58"/>
      <c r="C614" s="57"/>
      <c r="G614" s="64">
        <v>62476.4</v>
      </c>
      <c r="J614" s="64">
        <v>37684</v>
      </c>
      <c r="M614" s="67" t="s">
        <v>202</v>
      </c>
      <c r="N614" s="67" t="s">
        <v>50</v>
      </c>
      <c r="O614" s="64">
        <v>37684</v>
      </c>
    </row>
    <row r="615" spans="1:15" ht="15.75" x14ac:dyDescent="0.25">
      <c r="A615" s="56">
        <v>3726.4</v>
      </c>
      <c r="C615" s="57"/>
      <c r="G615" s="64">
        <v>157975.5</v>
      </c>
      <c r="J615" s="64">
        <v>198026.35</v>
      </c>
      <c r="M615" s="67" t="s">
        <v>202</v>
      </c>
      <c r="N615" s="67" t="s">
        <v>11</v>
      </c>
      <c r="O615" s="64">
        <v>198026.35</v>
      </c>
    </row>
    <row r="616" spans="1:15" ht="15.75" x14ac:dyDescent="0.25">
      <c r="A616" s="56">
        <v>541341.75</v>
      </c>
      <c r="C616" s="57"/>
      <c r="G616" s="64">
        <v>70690.44</v>
      </c>
      <c r="J616" s="64">
        <v>15606.6</v>
      </c>
      <c r="M616" s="67" t="s">
        <v>203</v>
      </c>
      <c r="N616" s="67" t="s">
        <v>50</v>
      </c>
      <c r="O616" s="64">
        <v>15606.6</v>
      </c>
    </row>
    <row r="617" spans="1:15" ht="15.75" x14ac:dyDescent="0.25">
      <c r="A617" s="56">
        <v>129639.75</v>
      </c>
      <c r="C617" s="57"/>
      <c r="G617" s="64">
        <v>29406.75</v>
      </c>
      <c r="J617" s="64">
        <v>52492</v>
      </c>
      <c r="M617" s="67" t="s">
        <v>203</v>
      </c>
      <c r="N617" s="67" t="s">
        <v>50</v>
      </c>
      <c r="O617" s="64">
        <v>52492</v>
      </c>
    </row>
    <row r="618" spans="1:15" ht="15.75" x14ac:dyDescent="0.25">
      <c r="A618" s="56">
        <v>50692.5</v>
      </c>
      <c r="C618" s="57"/>
      <c r="G618" s="64">
        <v>57934.8</v>
      </c>
      <c r="J618" s="64">
        <v>1028381.2</v>
      </c>
      <c r="M618" s="67" t="s">
        <v>203</v>
      </c>
      <c r="N618" s="67" t="s">
        <v>50</v>
      </c>
      <c r="O618" s="64">
        <v>1028381.2</v>
      </c>
    </row>
    <row r="619" spans="1:15" x14ac:dyDescent="0.25">
      <c r="A619" s="58"/>
      <c r="C619" s="57"/>
      <c r="G619" s="64">
        <v>20753.7</v>
      </c>
      <c r="J619" s="64">
        <v>1153419.3999999999</v>
      </c>
      <c r="M619" s="67" t="s">
        <v>203</v>
      </c>
      <c r="N619" s="67" t="s">
        <v>11</v>
      </c>
      <c r="O619" s="64">
        <v>1153419.3999999999</v>
      </c>
    </row>
    <row r="620" spans="1:15" ht="15.75" x14ac:dyDescent="0.25">
      <c r="A620" s="56">
        <v>67050</v>
      </c>
      <c r="C620" s="56">
        <v>55335</v>
      </c>
      <c r="G620" s="65">
        <v>55335</v>
      </c>
      <c r="J620" s="64">
        <v>12606.3</v>
      </c>
      <c r="M620" s="67" t="s">
        <v>203</v>
      </c>
      <c r="N620" s="67" t="s">
        <v>50</v>
      </c>
      <c r="O620" s="64">
        <v>12606.3</v>
      </c>
    </row>
    <row r="621" spans="1:15" ht="15.75" x14ac:dyDescent="0.25">
      <c r="A621" s="56">
        <v>25922.400000000001</v>
      </c>
      <c r="C621" s="56">
        <v>22540</v>
      </c>
      <c r="G621" s="65">
        <v>22540</v>
      </c>
      <c r="J621" s="64">
        <v>43301.25</v>
      </c>
      <c r="M621" s="67" t="s">
        <v>203</v>
      </c>
      <c r="N621" s="67" t="s">
        <v>50</v>
      </c>
      <c r="O621" s="64">
        <v>43301.25</v>
      </c>
    </row>
    <row r="622" spans="1:15" ht="15.75" x14ac:dyDescent="0.25">
      <c r="A622" s="56">
        <v>2488.1999999999998</v>
      </c>
      <c r="C622" s="56">
        <v>16984.8</v>
      </c>
      <c r="G622" s="65">
        <v>16984.8</v>
      </c>
      <c r="J622" s="64">
        <v>48586.2</v>
      </c>
      <c r="M622" s="67" t="s">
        <v>204</v>
      </c>
      <c r="N622" s="67" t="s">
        <v>50</v>
      </c>
      <c r="O622" s="64">
        <v>48586.2</v>
      </c>
    </row>
    <row r="623" spans="1:15" ht="15.75" x14ac:dyDescent="0.25">
      <c r="A623" s="56">
        <v>148794</v>
      </c>
      <c r="C623" s="56">
        <v>52196.9</v>
      </c>
      <c r="G623" s="65">
        <v>52196.9</v>
      </c>
      <c r="J623" s="64">
        <v>396721.8</v>
      </c>
      <c r="M623" s="67" t="s">
        <v>204</v>
      </c>
      <c r="N623" s="67" t="s">
        <v>50</v>
      </c>
      <c r="O623" s="64">
        <v>396721.8</v>
      </c>
    </row>
    <row r="624" spans="1:15" ht="15.75" x14ac:dyDescent="0.25">
      <c r="A624" s="56">
        <v>3924</v>
      </c>
      <c r="C624" s="57"/>
      <c r="G624" s="64">
        <v>35294</v>
      </c>
      <c r="J624" s="64">
        <v>2043880</v>
      </c>
      <c r="M624" s="67" t="s">
        <v>204</v>
      </c>
      <c r="N624" s="67" t="s">
        <v>50</v>
      </c>
      <c r="O624" s="64">
        <v>2043880</v>
      </c>
    </row>
    <row r="625" spans="1:15" ht="15.75" x14ac:dyDescent="0.25">
      <c r="A625" s="56">
        <v>3997.5</v>
      </c>
      <c r="C625" s="56">
        <v>91625.5</v>
      </c>
      <c r="G625" s="65">
        <v>91625.5</v>
      </c>
      <c r="J625" s="64">
        <v>112938.75</v>
      </c>
      <c r="M625" s="67" t="s">
        <v>204</v>
      </c>
      <c r="N625" s="67" t="s">
        <v>50</v>
      </c>
      <c r="O625" s="64">
        <v>112938.75</v>
      </c>
    </row>
    <row r="626" spans="1:15" ht="15.75" x14ac:dyDescent="0.25">
      <c r="A626" s="56">
        <v>22875</v>
      </c>
      <c r="C626" s="56">
        <v>45975.3</v>
      </c>
      <c r="G626" s="65">
        <v>45975.3</v>
      </c>
      <c r="J626" s="64">
        <v>26454</v>
      </c>
      <c r="M626" s="67" t="s">
        <v>204</v>
      </c>
      <c r="N626" s="67" t="s">
        <v>11</v>
      </c>
      <c r="O626" s="64">
        <v>26454</v>
      </c>
    </row>
    <row r="627" spans="1:15" ht="15.75" x14ac:dyDescent="0.25">
      <c r="A627" s="56">
        <v>32970</v>
      </c>
      <c r="C627" s="57"/>
      <c r="G627" s="64">
        <v>48560.2</v>
      </c>
      <c r="J627" s="64">
        <v>29165.759999999998</v>
      </c>
      <c r="M627" s="67" t="s">
        <v>205</v>
      </c>
      <c r="N627" s="67" t="s">
        <v>50</v>
      </c>
      <c r="O627" s="64">
        <v>29165.759999999998</v>
      </c>
    </row>
    <row r="628" spans="1:15" ht="15.75" x14ac:dyDescent="0.25">
      <c r="A628" s="56">
        <v>8947.2000000000007</v>
      </c>
      <c r="C628" s="56">
        <v>4811.3999999999996</v>
      </c>
      <c r="G628" s="65">
        <v>4811.3999999999996</v>
      </c>
      <c r="J628" s="64">
        <v>355651.2</v>
      </c>
      <c r="M628" s="67" t="s">
        <v>205</v>
      </c>
      <c r="N628" s="67" t="s">
        <v>50</v>
      </c>
      <c r="O628" s="64">
        <v>355651.2</v>
      </c>
    </row>
    <row r="629" spans="1:15" ht="15.75" x14ac:dyDescent="0.25">
      <c r="A629" s="56">
        <v>75922</v>
      </c>
      <c r="C629" s="56">
        <v>27161.759999999998</v>
      </c>
      <c r="G629" s="65">
        <v>27161.759999999998</v>
      </c>
      <c r="J629" s="64">
        <v>56318.3</v>
      </c>
      <c r="M629" s="67" t="s">
        <v>205</v>
      </c>
      <c r="N629" s="67" t="s">
        <v>50</v>
      </c>
      <c r="O629" s="64">
        <v>56318.3</v>
      </c>
    </row>
    <row r="630" spans="1:15" ht="15.75" x14ac:dyDescent="0.25">
      <c r="A630" s="56">
        <v>7995</v>
      </c>
      <c r="C630" s="56">
        <v>52164.7</v>
      </c>
      <c r="G630" s="65">
        <v>72683.100000000006</v>
      </c>
      <c r="J630" s="64">
        <v>14151.65</v>
      </c>
      <c r="M630" s="67" t="s">
        <v>205</v>
      </c>
      <c r="N630" s="67" t="s">
        <v>50</v>
      </c>
      <c r="O630" s="64">
        <v>14151.65</v>
      </c>
    </row>
    <row r="631" spans="1:15" x14ac:dyDescent="0.25">
      <c r="A631" s="60"/>
      <c r="C631" s="57"/>
      <c r="G631" s="64">
        <v>40299</v>
      </c>
      <c r="J631" s="64">
        <v>198935.7</v>
      </c>
      <c r="M631" s="67" t="s">
        <v>205</v>
      </c>
      <c r="N631" s="67" t="s">
        <v>50</v>
      </c>
      <c r="O631" s="64">
        <v>198935.7</v>
      </c>
    </row>
    <row r="632" spans="1:15" ht="15.75" x14ac:dyDescent="0.25">
      <c r="A632" s="56">
        <v>15960</v>
      </c>
      <c r="C632" s="56">
        <v>31892</v>
      </c>
      <c r="G632" s="65">
        <v>31892</v>
      </c>
      <c r="J632" s="64">
        <v>32703.45</v>
      </c>
      <c r="M632" s="67" t="s">
        <v>205</v>
      </c>
      <c r="N632" s="67" t="s">
        <v>11</v>
      </c>
      <c r="O632" s="64">
        <v>32703.45</v>
      </c>
    </row>
    <row r="633" spans="1:15" ht="15.75" x14ac:dyDescent="0.25">
      <c r="A633" s="56">
        <v>63431.6</v>
      </c>
      <c r="C633" s="56">
        <v>63888</v>
      </c>
      <c r="G633" s="65">
        <v>63888</v>
      </c>
      <c r="J633" s="64">
        <v>17291124.399999999</v>
      </c>
      <c r="M633" s="67" t="s">
        <v>205</v>
      </c>
      <c r="N633" s="67" t="s">
        <v>50</v>
      </c>
      <c r="O633" s="64">
        <v>17291124.399999999</v>
      </c>
    </row>
    <row r="634" spans="1:15" ht="15.75" x14ac:dyDescent="0.25">
      <c r="A634" s="56">
        <v>1816.5</v>
      </c>
      <c r="C634" s="56">
        <v>65980.28</v>
      </c>
      <c r="G634" s="65">
        <v>65980.28</v>
      </c>
      <c r="J634" s="64">
        <v>58947.199999999997</v>
      </c>
      <c r="M634" s="67" t="s">
        <v>205</v>
      </c>
      <c r="N634" s="67" t="s">
        <v>50</v>
      </c>
      <c r="O634" s="64">
        <v>58947.199999999997</v>
      </c>
    </row>
    <row r="635" spans="1:15" ht="15.75" x14ac:dyDescent="0.25">
      <c r="A635" s="56">
        <v>46247.4</v>
      </c>
      <c r="C635" s="56">
        <v>65980.28</v>
      </c>
      <c r="G635" s="65">
        <v>65980.28</v>
      </c>
      <c r="J635" s="64">
        <v>66868.800000000003</v>
      </c>
      <c r="M635" s="67" t="s">
        <v>206</v>
      </c>
      <c r="N635" s="67" t="s">
        <v>50</v>
      </c>
      <c r="O635" s="64">
        <v>66868.800000000003</v>
      </c>
    </row>
    <row r="636" spans="1:15" ht="15.75" x14ac:dyDescent="0.25">
      <c r="A636" s="56">
        <v>114604.2</v>
      </c>
      <c r="C636" s="56">
        <v>29699.119999999999</v>
      </c>
      <c r="G636" s="65">
        <v>29699.119999999999</v>
      </c>
      <c r="J636" s="64">
        <v>409195.1</v>
      </c>
      <c r="M636" s="67" t="s">
        <v>206</v>
      </c>
      <c r="N636" s="67" t="s">
        <v>50</v>
      </c>
      <c r="O636" s="64">
        <v>409195.1</v>
      </c>
    </row>
    <row r="637" spans="1:15" ht="15.75" x14ac:dyDescent="0.25">
      <c r="A637" s="56">
        <v>2134.4</v>
      </c>
      <c r="C637" s="57"/>
      <c r="G637" s="64">
        <v>67446</v>
      </c>
      <c r="J637" s="64">
        <v>2343411</v>
      </c>
      <c r="M637" s="67" t="s">
        <v>206</v>
      </c>
      <c r="N637" s="67" t="s">
        <v>50</v>
      </c>
      <c r="O637" s="64">
        <v>2343411</v>
      </c>
    </row>
    <row r="638" spans="1:15" x14ac:dyDescent="0.25">
      <c r="A638" s="58"/>
      <c r="C638" s="57"/>
      <c r="G638" s="64">
        <v>27342</v>
      </c>
      <c r="J638" s="64">
        <v>80321.399999999994</v>
      </c>
      <c r="M638" s="67" t="s">
        <v>206</v>
      </c>
      <c r="N638" s="67" t="s">
        <v>50</v>
      </c>
      <c r="O638" s="64">
        <v>80321.399999999994</v>
      </c>
    </row>
    <row r="639" spans="1:15" ht="15.75" x14ac:dyDescent="0.25">
      <c r="A639" s="56">
        <v>25656</v>
      </c>
      <c r="C639" s="57"/>
      <c r="G639" s="64">
        <v>391694.8</v>
      </c>
      <c r="J639" s="64">
        <v>7844.4</v>
      </c>
      <c r="M639" s="67" t="s">
        <v>206</v>
      </c>
      <c r="N639" s="67" t="s">
        <v>11</v>
      </c>
      <c r="O639" s="64">
        <v>7844.4</v>
      </c>
    </row>
    <row r="640" spans="1:15" ht="15.75" x14ac:dyDescent="0.25">
      <c r="A640" s="56">
        <v>32906.400000000001</v>
      </c>
      <c r="C640" s="56">
        <v>646858.80000000005</v>
      </c>
      <c r="G640" s="65">
        <v>646858.80000000005</v>
      </c>
      <c r="J640" s="64">
        <v>108942.8</v>
      </c>
      <c r="M640" s="67" t="s">
        <v>207</v>
      </c>
      <c r="N640" s="67" t="s">
        <v>11</v>
      </c>
      <c r="O640" s="64">
        <v>108942.8</v>
      </c>
    </row>
    <row r="641" spans="1:15" ht="15.75" x14ac:dyDescent="0.25">
      <c r="A641" s="56">
        <v>11559.2</v>
      </c>
      <c r="C641" s="57"/>
      <c r="G641" s="64">
        <v>134294.25</v>
      </c>
      <c r="J641" s="64">
        <v>64160.4</v>
      </c>
      <c r="M641" s="67" t="s">
        <v>207</v>
      </c>
      <c r="N641" s="67" t="s">
        <v>50</v>
      </c>
      <c r="O641" s="64">
        <v>64160.4</v>
      </c>
    </row>
    <row r="642" spans="1:15" x14ac:dyDescent="0.25">
      <c r="A642" s="58"/>
      <c r="C642" s="57"/>
      <c r="G642" s="64">
        <v>4738.3</v>
      </c>
      <c r="J642" s="64">
        <v>53421.9</v>
      </c>
      <c r="M642" s="67" t="s">
        <v>207</v>
      </c>
      <c r="N642" s="67" t="s">
        <v>50</v>
      </c>
      <c r="O642" s="64">
        <v>53421.9</v>
      </c>
    </row>
    <row r="643" spans="1:15" ht="15.75" x14ac:dyDescent="0.25">
      <c r="A643" s="56">
        <v>8713.6</v>
      </c>
      <c r="C643" s="57"/>
      <c r="G643" s="64">
        <v>27472.2</v>
      </c>
      <c r="J643" s="64">
        <v>126921</v>
      </c>
      <c r="M643" s="67" t="s">
        <v>207</v>
      </c>
      <c r="N643" s="67" t="s">
        <v>11</v>
      </c>
      <c r="O643" s="64">
        <v>126921</v>
      </c>
    </row>
    <row r="644" spans="1:15" ht="15.75" x14ac:dyDescent="0.25">
      <c r="A644" s="56">
        <v>6434.25</v>
      </c>
      <c r="C644" s="57"/>
      <c r="G644" s="64">
        <v>41577.599999999999</v>
      </c>
      <c r="J644" s="64">
        <v>55647.8</v>
      </c>
      <c r="M644" s="67" t="s">
        <v>207</v>
      </c>
      <c r="N644" s="67" t="s">
        <v>50</v>
      </c>
      <c r="O644" s="64">
        <v>55647.8</v>
      </c>
    </row>
    <row r="645" spans="1:15" ht="15.75" x14ac:dyDescent="0.25">
      <c r="A645" s="56">
        <v>7464.6</v>
      </c>
      <c r="C645" s="57"/>
      <c r="G645" s="64">
        <v>101750.1</v>
      </c>
      <c r="J645" s="64">
        <v>82091.100000000006</v>
      </c>
      <c r="M645" s="67" t="s">
        <v>207</v>
      </c>
      <c r="N645" s="67" t="s">
        <v>50</v>
      </c>
      <c r="O645" s="64">
        <v>82091.100000000006</v>
      </c>
    </row>
    <row r="646" spans="1:15" x14ac:dyDescent="0.25">
      <c r="A646" s="58"/>
      <c r="C646" s="57"/>
      <c r="G646" s="64">
        <v>34608</v>
      </c>
      <c r="J646" s="64">
        <v>26683.200000000001</v>
      </c>
      <c r="M646" s="67" t="s">
        <v>207</v>
      </c>
      <c r="N646" s="67" t="s">
        <v>50</v>
      </c>
      <c r="O646" s="64">
        <v>26683.200000000001</v>
      </c>
    </row>
    <row r="647" spans="1:15" ht="15.75" x14ac:dyDescent="0.25">
      <c r="A647" s="56">
        <v>20446.5</v>
      </c>
      <c r="C647" s="57"/>
      <c r="G647" s="64">
        <v>442953</v>
      </c>
      <c r="J647" s="64">
        <v>19539.2</v>
      </c>
      <c r="M647" s="67" t="s">
        <v>207</v>
      </c>
      <c r="N647" s="67" t="s">
        <v>50</v>
      </c>
      <c r="O647" s="64">
        <v>19539.2</v>
      </c>
    </row>
    <row r="648" spans="1:15" ht="15.75" x14ac:dyDescent="0.25">
      <c r="A648" s="56">
        <v>109560</v>
      </c>
      <c r="C648" s="56">
        <v>244043.33</v>
      </c>
      <c r="G648" s="65">
        <v>244043.33</v>
      </c>
      <c r="J648" s="64">
        <v>4566446.5999999996</v>
      </c>
      <c r="M648" s="67" t="s">
        <v>207</v>
      </c>
      <c r="N648" s="67" t="s">
        <v>50</v>
      </c>
      <c r="O648" s="64">
        <v>4566446.5999999996</v>
      </c>
    </row>
    <row r="649" spans="1:15" ht="15.75" x14ac:dyDescent="0.25">
      <c r="A649" s="56">
        <v>17505</v>
      </c>
      <c r="C649" s="57"/>
      <c r="G649" s="64">
        <v>85459.199999999997</v>
      </c>
      <c r="J649" s="64">
        <v>204223.2</v>
      </c>
      <c r="M649" s="67" t="s">
        <v>207</v>
      </c>
      <c r="N649" s="67" t="s">
        <v>50</v>
      </c>
      <c r="O649" s="64">
        <v>204223.2</v>
      </c>
    </row>
    <row r="650" spans="1:15" ht="15.75" x14ac:dyDescent="0.25">
      <c r="A650" s="58"/>
      <c r="C650" s="56">
        <v>5135.2</v>
      </c>
      <c r="G650" s="65">
        <v>5135.2</v>
      </c>
      <c r="J650" s="64">
        <v>16281.9</v>
      </c>
      <c r="M650" s="67" t="s">
        <v>208</v>
      </c>
      <c r="N650" s="67" t="s">
        <v>50</v>
      </c>
      <c r="O650" s="64">
        <v>16281.9</v>
      </c>
    </row>
    <row r="651" spans="1:15" ht="15.75" x14ac:dyDescent="0.25">
      <c r="A651" s="58"/>
      <c r="C651" s="56">
        <v>95137.32</v>
      </c>
      <c r="G651" s="65">
        <v>95137.32</v>
      </c>
      <c r="J651" s="64">
        <v>214974</v>
      </c>
      <c r="M651" s="67" t="s">
        <v>208</v>
      </c>
      <c r="N651" s="67" t="s">
        <v>50</v>
      </c>
      <c r="O651" s="64">
        <v>214974</v>
      </c>
    </row>
    <row r="652" spans="1:15" ht="15.75" x14ac:dyDescent="0.25">
      <c r="A652" s="56">
        <v>8181</v>
      </c>
      <c r="C652" s="56">
        <v>12206.4</v>
      </c>
      <c r="G652" s="65">
        <v>12206.4</v>
      </c>
      <c r="J652" s="64">
        <v>17321.16</v>
      </c>
      <c r="M652" s="67" t="s">
        <v>208</v>
      </c>
      <c r="N652" s="67" t="s">
        <v>50</v>
      </c>
      <c r="O652" s="64">
        <v>17321.16</v>
      </c>
    </row>
    <row r="653" spans="1:15" ht="15.75" x14ac:dyDescent="0.25">
      <c r="A653" s="56">
        <v>40769.599999999999</v>
      </c>
      <c r="C653" s="56">
        <v>95137.32</v>
      </c>
      <c r="G653" s="65">
        <v>95137.32</v>
      </c>
      <c r="J653" s="64">
        <v>214974</v>
      </c>
      <c r="M653" s="67" t="s">
        <v>208</v>
      </c>
      <c r="N653" s="67" t="s">
        <v>50</v>
      </c>
      <c r="O653" s="64">
        <v>214974</v>
      </c>
    </row>
    <row r="654" spans="1:15" ht="15.75" x14ac:dyDescent="0.25">
      <c r="A654" s="58"/>
      <c r="C654" s="56">
        <v>13909.76</v>
      </c>
      <c r="G654" s="65">
        <v>13909.76</v>
      </c>
      <c r="J654" s="64">
        <v>20529</v>
      </c>
      <c r="M654" s="67" t="s">
        <v>208</v>
      </c>
      <c r="N654" s="67" t="s">
        <v>11</v>
      </c>
      <c r="O654" s="64">
        <v>20529</v>
      </c>
    </row>
    <row r="655" spans="1:15" ht="15.75" x14ac:dyDescent="0.25">
      <c r="A655" s="56">
        <v>11414.4</v>
      </c>
      <c r="C655" s="56">
        <v>63900</v>
      </c>
      <c r="G655" s="65">
        <v>63900</v>
      </c>
      <c r="J655" s="64">
        <v>261840.8</v>
      </c>
      <c r="M655" s="67" t="s">
        <v>208</v>
      </c>
      <c r="N655" s="67" t="s">
        <v>50</v>
      </c>
      <c r="O655" s="64">
        <v>261840.8</v>
      </c>
    </row>
    <row r="656" spans="1:15" ht="15.75" x14ac:dyDescent="0.25">
      <c r="A656" s="56">
        <v>39205.5</v>
      </c>
      <c r="C656" s="56">
        <v>65980.28</v>
      </c>
      <c r="G656" s="65">
        <v>65980.28</v>
      </c>
      <c r="J656" s="64">
        <v>181533.6</v>
      </c>
      <c r="M656" s="67" t="s">
        <v>208</v>
      </c>
      <c r="N656" s="67" t="s">
        <v>50</v>
      </c>
      <c r="O656" s="64">
        <v>181533.6</v>
      </c>
    </row>
    <row r="657" spans="1:15" ht="15.75" x14ac:dyDescent="0.25">
      <c r="A657" s="56">
        <v>14666.25</v>
      </c>
      <c r="C657" s="56">
        <v>101795.88</v>
      </c>
      <c r="G657" s="65">
        <v>101795.88</v>
      </c>
      <c r="J657" s="64">
        <v>86088</v>
      </c>
      <c r="M657" s="67" t="s">
        <v>209</v>
      </c>
      <c r="N657" s="67" t="s">
        <v>50</v>
      </c>
      <c r="O657" s="64">
        <v>86088</v>
      </c>
    </row>
    <row r="658" spans="1:15" ht="15.75" x14ac:dyDescent="0.25">
      <c r="A658" s="56">
        <v>3400</v>
      </c>
      <c r="C658" s="56">
        <v>93864.36</v>
      </c>
      <c r="G658" s="65">
        <v>93864.36</v>
      </c>
      <c r="J658" s="64">
        <v>206909.1</v>
      </c>
      <c r="M658" s="67" t="s">
        <v>209</v>
      </c>
      <c r="N658" s="67" t="s">
        <v>50</v>
      </c>
      <c r="O658" s="64">
        <v>206909.1</v>
      </c>
    </row>
    <row r="659" spans="1:15" ht="15.75" x14ac:dyDescent="0.25">
      <c r="A659" s="56">
        <v>49443.75</v>
      </c>
      <c r="C659" s="56">
        <v>24150</v>
      </c>
      <c r="G659" s="65">
        <v>24150</v>
      </c>
      <c r="J659" s="64">
        <v>49377.599999999999</v>
      </c>
      <c r="M659" s="67" t="s">
        <v>209</v>
      </c>
      <c r="N659" s="67" t="s">
        <v>11</v>
      </c>
      <c r="O659" s="64">
        <v>49377.599999999999</v>
      </c>
    </row>
    <row r="660" spans="1:15" ht="15.75" x14ac:dyDescent="0.25">
      <c r="A660" s="56">
        <v>23041.5</v>
      </c>
      <c r="C660" s="56">
        <v>114658.2</v>
      </c>
      <c r="G660" s="64">
        <v>114658.2</v>
      </c>
      <c r="J660" s="64">
        <v>15672.8</v>
      </c>
      <c r="M660" s="67" t="s">
        <v>209</v>
      </c>
      <c r="N660" s="67" t="s">
        <v>11</v>
      </c>
      <c r="O660" s="64">
        <v>15672.8</v>
      </c>
    </row>
    <row r="661" spans="1:15" ht="15.75" x14ac:dyDescent="0.25">
      <c r="A661" s="56">
        <v>46670</v>
      </c>
      <c r="C661" s="56">
        <v>87138.8</v>
      </c>
      <c r="G661" s="65">
        <v>87138.8</v>
      </c>
      <c r="J661" s="64">
        <v>285499</v>
      </c>
      <c r="M661" s="67" t="s">
        <v>209</v>
      </c>
      <c r="N661" s="67" t="s">
        <v>50</v>
      </c>
      <c r="O661" s="64">
        <v>285499</v>
      </c>
    </row>
    <row r="662" spans="1:15" ht="15.75" x14ac:dyDescent="0.25">
      <c r="A662" s="58"/>
      <c r="C662" s="56">
        <v>23643.200000000001</v>
      </c>
      <c r="G662" s="65">
        <v>23643.200000000001</v>
      </c>
      <c r="J662" s="64">
        <v>71100.800000000003</v>
      </c>
      <c r="M662" s="67" t="s">
        <v>209</v>
      </c>
      <c r="N662" s="67" t="s">
        <v>11</v>
      </c>
      <c r="O662" s="64">
        <v>71100.800000000003</v>
      </c>
    </row>
    <row r="663" spans="1:15" ht="15.75" x14ac:dyDescent="0.25">
      <c r="A663" s="56">
        <v>31044.48</v>
      </c>
      <c r="C663" s="56">
        <v>78097.5</v>
      </c>
      <c r="G663" s="65">
        <v>78097.5</v>
      </c>
      <c r="J663" s="64">
        <v>224789</v>
      </c>
      <c r="M663" s="67" t="s">
        <v>209</v>
      </c>
      <c r="N663" s="67" t="s">
        <v>50</v>
      </c>
      <c r="O663" s="64">
        <v>224789</v>
      </c>
    </row>
    <row r="664" spans="1:15" x14ac:dyDescent="0.25">
      <c r="A664" s="58"/>
      <c r="C664" s="57"/>
      <c r="G664" s="64">
        <v>2213.0700000000002</v>
      </c>
      <c r="J664" s="64">
        <v>6564</v>
      </c>
      <c r="M664" s="67" t="s">
        <v>209</v>
      </c>
      <c r="N664" s="67" t="s">
        <v>50</v>
      </c>
      <c r="O664" s="64">
        <v>6564</v>
      </c>
    </row>
    <row r="665" spans="1:15" ht="15.75" x14ac:dyDescent="0.25">
      <c r="A665" s="56">
        <v>6246</v>
      </c>
      <c r="C665" s="57"/>
      <c r="G665" s="64">
        <v>6865.6</v>
      </c>
      <c r="J665" s="64">
        <v>134892</v>
      </c>
      <c r="M665" s="67" t="s">
        <v>210</v>
      </c>
      <c r="N665" s="67" t="s">
        <v>50</v>
      </c>
      <c r="O665" s="64">
        <v>134892</v>
      </c>
    </row>
    <row r="666" spans="1:15" ht="15.75" x14ac:dyDescent="0.25">
      <c r="A666" s="56">
        <v>13086</v>
      </c>
      <c r="C666" s="56">
        <v>11554.2</v>
      </c>
      <c r="G666" s="65">
        <v>11554.2</v>
      </c>
      <c r="J666" s="64">
        <v>101850.4</v>
      </c>
      <c r="M666" s="67" t="s">
        <v>210</v>
      </c>
      <c r="N666" s="67" t="s">
        <v>11</v>
      </c>
      <c r="O666" s="64">
        <v>101850.4</v>
      </c>
    </row>
    <row r="667" spans="1:15" ht="15.75" x14ac:dyDescent="0.25">
      <c r="A667" s="56">
        <v>26033.8</v>
      </c>
      <c r="C667" s="56">
        <v>9476.6</v>
      </c>
      <c r="G667" s="65">
        <v>9476.6</v>
      </c>
      <c r="J667" s="64">
        <v>138129.60000000001</v>
      </c>
      <c r="M667" s="67" t="s">
        <v>210</v>
      </c>
      <c r="N667" s="67" t="s">
        <v>11</v>
      </c>
      <c r="O667" s="64">
        <v>138129.60000000001</v>
      </c>
    </row>
    <row r="668" spans="1:15" ht="15.75" x14ac:dyDescent="0.25">
      <c r="A668" s="56">
        <v>25961.4</v>
      </c>
      <c r="C668" s="56">
        <v>14733.6</v>
      </c>
      <c r="G668" s="65">
        <v>14733.6</v>
      </c>
      <c r="J668" s="64">
        <v>267629.59999999998</v>
      </c>
      <c r="M668" s="67" t="s">
        <v>210</v>
      </c>
      <c r="N668" s="67" t="s">
        <v>11</v>
      </c>
      <c r="O668" s="64">
        <v>267629.59999999998</v>
      </c>
    </row>
    <row r="669" spans="1:15" ht="15.75" x14ac:dyDescent="0.25">
      <c r="A669" s="56">
        <v>203229.25</v>
      </c>
      <c r="C669" s="57"/>
      <c r="G669" s="64">
        <v>6391.6</v>
      </c>
      <c r="J669" s="64">
        <v>31344.3</v>
      </c>
      <c r="M669" s="67" t="s">
        <v>210</v>
      </c>
      <c r="N669" s="67" t="s">
        <v>50</v>
      </c>
      <c r="O669" s="64">
        <v>31344.3</v>
      </c>
    </row>
    <row r="670" spans="1:15" ht="15.75" x14ac:dyDescent="0.25">
      <c r="A670" s="56">
        <v>704696</v>
      </c>
      <c r="C670" s="56">
        <v>45570</v>
      </c>
      <c r="G670" s="65">
        <v>45570</v>
      </c>
      <c r="J670" s="64">
        <v>119464.28</v>
      </c>
      <c r="M670" s="67" t="s">
        <v>210</v>
      </c>
      <c r="N670" s="67" t="s">
        <v>50</v>
      </c>
      <c r="O670" s="64">
        <v>119464.28</v>
      </c>
    </row>
    <row r="671" spans="1:15" ht="15.75" x14ac:dyDescent="0.25">
      <c r="A671" s="56">
        <v>34312.5</v>
      </c>
      <c r="C671" s="56">
        <v>1711.5</v>
      </c>
      <c r="G671" s="65">
        <v>1711.5</v>
      </c>
      <c r="J671" s="64">
        <v>1335393</v>
      </c>
      <c r="M671" s="67" t="s">
        <v>211</v>
      </c>
      <c r="N671" s="67" t="s">
        <v>50</v>
      </c>
      <c r="O671" s="64">
        <v>1335393</v>
      </c>
    </row>
    <row r="672" spans="1:15" ht="15.75" x14ac:dyDescent="0.25">
      <c r="A672" s="56">
        <v>5749.5</v>
      </c>
      <c r="C672" s="57"/>
      <c r="G672" s="64">
        <v>92522</v>
      </c>
      <c r="J672" s="64">
        <v>38241</v>
      </c>
      <c r="M672" s="67" t="s">
        <v>211</v>
      </c>
      <c r="N672" s="67" t="s">
        <v>50</v>
      </c>
      <c r="O672" s="64">
        <v>38241</v>
      </c>
    </row>
    <row r="673" spans="1:15" ht="15.75" x14ac:dyDescent="0.25">
      <c r="A673" s="56">
        <v>11496</v>
      </c>
      <c r="C673" s="56">
        <v>27990.9</v>
      </c>
      <c r="G673" s="65">
        <v>27990.9</v>
      </c>
      <c r="J673" s="64">
        <v>1665.92</v>
      </c>
      <c r="M673" s="67" t="s">
        <v>211</v>
      </c>
      <c r="N673" s="67" t="s">
        <v>50</v>
      </c>
      <c r="O673" s="64">
        <v>1665.92</v>
      </c>
    </row>
    <row r="674" spans="1:15" x14ac:dyDescent="0.25">
      <c r="A674" s="58"/>
      <c r="C674" s="57"/>
      <c r="G674" s="64">
        <v>57734.35</v>
      </c>
      <c r="J674" s="64">
        <v>103501.8</v>
      </c>
      <c r="M674" s="67" t="s">
        <v>211</v>
      </c>
      <c r="N674" s="67" t="s">
        <v>50</v>
      </c>
      <c r="O674" s="64">
        <v>103501.8</v>
      </c>
    </row>
    <row r="675" spans="1:15" ht="15.75" x14ac:dyDescent="0.25">
      <c r="A675" s="56">
        <v>91762.4</v>
      </c>
      <c r="C675" s="56">
        <v>50747.96</v>
      </c>
      <c r="G675" s="65">
        <v>50747.96</v>
      </c>
      <c r="J675" s="64">
        <v>425244.8</v>
      </c>
      <c r="M675" s="67" t="s">
        <v>211</v>
      </c>
      <c r="N675" s="67" t="s">
        <v>11</v>
      </c>
      <c r="O675" s="64">
        <v>425244.8</v>
      </c>
    </row>
    <row r="676" spans="1:15" ht="15.75" x14ac:dyDescent="0.25">
      <c r="A676" s="56">
        <v>42442.96</v>
      </c>
      <c r="C676" s="56">
        <v>47278</v>
      </c>
      <c r="G676" s="65">
        <v>47278</v>
      </c>
      <c r="J676" s="64">
        <v>195988</v>
      </c>
      <c r="M676" s="67" t="s">
        <v>211</v>
      </c>
      <c r="N676" s="67" t="s">
        <v>11</v>
      </c>
      <c r="O676" s="64">
        <v>195988</v>
      </c>
    </row>
    <row r="677" spans="1:15" ht="15.75" x14ac:dyDescent="0.25">
      <c r="A677" s="58"/>
      <c r="C677" s="56">
        <v>54615.4</v>
      </c>
      <c r="G677" s="65">
        <v>54615.4</v>
      </c>
      <c r="J677" s="64">
        <v>96757.88</v>
      </c>
      <c r="M677" s="67" t="s">
        <v>212</v>
      </c>
      <c r="N677" s="67" t="s">
        <v>50</v>
      </c>
      <c r="O677" s="64">
        <v>96757.88</v>
      </c>
    </row>
    <row r="678" spans="1:15" ht="15.75" x14ac:dyDescent="0.25">
      <c r="A678" s="56">
        <v>2680.8</v>
      </c>
      <c r="C678" s="57"/>
      <c r="G678" s="64">
        <v>5731.05</v>
      </c>
      <c r="J678" s="64">
        <v>333727.40000000002</v>
      </c>
      <c r="M678" s="67" t="s">
        <v>212</v>
      </c>
      <c r="N678" s="67" t="s">
        <v>50</v>
      </c>
      <c r="O678" s="64">
        <v>333727.40000000002</v>
      </c>
    </row>
    <row r="679" spans="1:15" ht="15.75" x14ac:dyDescent="0.25">
      <c r="A679" s="56">
        <v>105741.08</v>
      </c>
      <c r="C679" s="56">
        <v>87542.7</v>
      </c>
      <c r="G679" s="65">
        <v>87542.7</v>
      </c>
      <c r="J679" s="64">
        <v>31492.5</v>
      </c>
      <c r="M679" s="67" t="s">
        <v>212</v>
      </c>
      <c r="N679" s="67" t="s">
        <v>50</v>
      </c>
      <c r="O679" s="64">
        <v>31492.5</v>
      </c>
    </row>
    <row r="680" spans="1:15" ht="15.75" x14ac:dyDescent="0.25">
      <c r="A680" s="56">
        <v>8659.7999999999993</v>
      </c>
      <c r="C680" s="56">
        <v>1704733.8</v>
      </c>
      <c r="G680" s="65">
        <v>1765732.5</v>
      </c>
      <c r="J680" s="64">
        <v>3216.87</v>
      </c>
      <c r="M680" s="67" t="s">
        <v>212</v>
      </c>
      <c r="N680" s="67" t="s">
        <v>50</v>
      </c>
      <c r="O680" s="64">
        <v>3216.87</v>
      </c>
    </row>
    <row r="681" spans="1:15" ht="15.75" x14ac:dyDescent="0.25">
      <c r="A681" s="56">
        <v>25056</v>
      </c>
      <c r="C681" s="57"/>
      <c r="G681" s="64">
        <v>1061341.05</v>
      </c>
      <c r="J681" s="64">
        <v>2231439</v>
      </c>
      <c r="M681" s="67" t="s">
        <v>213</v>
      </c>
      <c r="N681" s="67" t="s">
        <v>50</v>
      </c>
      <c r="O681" s="64">
        <v>2231439</v>
      </c>
    </row>
    <row r="682" spans="1:15" ht="15.75" x14ac:dyDescent="0.25">
      <c r="A682" s="56">
        <v>2635.99</v>
      </c>
      <c r="C682" s="57"/>
      <c r="G682" s="64">
        <v>277911.48</v>
      </c>
      <c r="J682" s="64">
        <v>14546.4</v>
      </c>
      <c r="M682" s="67" t="s">
        <v>213</v>
      </c>
      <c r="N682" s="67" t="s">
        <v>11</v>
      </c>
      <c r="O682" s="64">
        <v>14546.4</v>
      </c>
    </row>
    <row r="683" spans="1:15" ht="15.75" x14ac:dyDescent="0.25">
      <c r="A683" s="56">
        <v>7357.5</v>
      </c>
      <c r="C683" s="56">
        <v>4377.1499999999996</v>
      </c>
      <c r="G683" s="65">
        <v>4377.1499999999996</v>
      </c>
      <c r="J683" s="64">
        <v>1672947.8</v>
      </c>
      <c r="M683" s="67" t="s">
        <v>213</v>
      </c>
      <c r="N683" s="67" t="s">
        <v>50</v>
      </c>
      <c r="O683" s="64">
        <v>1672947.8</v>
      </c>
    </row>
    <row r="684" spans="1:15" ht="15.75" x14ac:dyDescent="0.25">
      <c r="A684" s="56">
        <v>9539.5499999999993</v>
      </c>
      <c r="C684" s="56">
        <v>35074.949999999997</v>
      </c>
      <c r="G684" s="65">
        <v>35074.949999999997</v>
      </c>
      <c r="J684" s="64">
        <v>55602.75</v>
      </c>
      <c r="M684" s="67" t="s">
        <v>213</v>
      </c>
      <c r="N684" s="67" t="s">
        <v>50</v>
      </c>
      <c r="O684" s="64">
        <v>55602.75</v>
      </c>
    </row>
    <row r="685" spans="1:15" ht="15.75" x14ac:dyDescent="0.25">
      <c r="A685" s="56">
        <v>42450</v>
      </c>
      <c r="C685" s="56">
        <v>6358.5</v>
      </c>
      <c r="G685" s="65">
        <v>6358.5</v>
      </c>
      <c r="J685" s="64">
        <v>2753168</v>
      </c>
      <c r="M685" s="67" t="s">
        <v>214</v>
      </c>
      <c r="N685" s="67" t="s">
        <v>50</v>
      </c>
      <c r="O685" s="64">
        <v>2753168</v>
      </c>
    </row>
    <row r="686" spans="1:15" ht="15.75" x14ac:dyDescent="0.25">
      <c r="A686" s="56">
        <v>510329.25</v>
      </c>
      <c r="C686" s="57"/>
      <c r="G686" s="64">
        <v>24519.5</v>
      </c>
      <c r="J686" s="64">
        <v>3033.6</v>
      </c>
      <c r="M686" s="67" t="s">
        <v>214</v>
      </c>
      <c r="N686" s="67" t="s">
        <v>11</v>
      </c>
      <c r="O686" s="64">
        <v>3033.6</v>
      </c>
    </row>
    <row r="687" spans="1:15" ht="15.75" x14ac:dyDescent="0.25">
      <c r="A687" s="56">
        <v>216849.05</v>
      </c>
      <c r="C687" s="57"/>
      <c r="G687" s="64">
        <v>442557.3</v>
      </c>
      <c r="J687" s="64">
        <v>122889.8</v>
      </c>
      <c r="M687" s="67" t="s">
        <v>214</v>
      </c>
      <c r="N687" s="67" t="s">
        <v>11</v>
      </c>
      <c r="O687" s="64">
        <v>122889.8</v>
      </c>
    </row>
    <row r="688" spans="1:15" ht="15.75" x14ac:dyDescent="0.25">
      <c r="A688" s="56">
        <v>86955</v>
      </c>
      <c r="C688" s="56">
        <v>20493.900000000001</v>
      </c>
      <c r="G688" s="65">
        <v>20493.900000000001</v>
      </c>
      <c r="J688" s="64">
        <v>686550.27</v>
      </c>
      <c r="M688" s="67" t="s">
        <v>214</v>
      </c>
      <c r="N688" s="67" t="s">
        <v>11</v>
      </c>
      <c r="O688" s="64">
        <v>686550.27</v>
      </c>
    </row>
    <row r="689" spans="1:15" ht="15.75" x14ac:dyDescent="0.25">
      <c r="A689" s="56">
        <v>3136</v>
      </c>
      <c r="C689" s="56">
        <v>3851.4</v>
      </c>
      <c r="G689" s="65">
        <v>3851.4</v>
      </c>
      <c r="J689" s="64">
        <v>6702</v>
      </c>
      <c r="M689" s="67" t="s">
        <v>214</v>
      </c>
      <c r="N689" s="67" t="s">
        <v>50</v>
      </c>
      <c r="O689" s="64">
        <v>6702</v>
      </c>
    </row>
    <row r="690" spans="1:15" ht="15.75" x14ac:dyDescent="0.25">
      <c r="A690" s="56">
        <v>16972</v>
      </c>
      <c r="C690" s="57"/>
      <c r="G690" s="64">
        <v>11875</v>
      </c>
      <c r="J690" s="64">
        <v>2680.8</v>
      </c>
      <c r="M690" s="67" t="s">
        <v>214</v>
      </c>
      <c r="N690" s="67" t="s">
        <v>11</v>
      </c>
      <c r="O690" s="64">
        <v>2680.8</v>
      </c>
    </row>
    <row r="691" spans="1:15" ht="15.75" x14ac:dyDescent="0.25">
      <c r="A691" s="56">
        <v>12992.8</v>
      </c>
      <c r="C691" s="56">
        <v>13750</v>
      </c>
      <c r="G691" s="65">
        <v>13750</v>
      </c>
      <c r="J691" s="57"/>
      <c r="M691" s="67" t="s">
        <v>214</v>
      </c>
      <c r="N691" s="67" t="s">
        <v>50</v>
      </c>
      <c r="O691" s="57"/>
    </row>
    <row r="692" spans="1:15" ht="15.75" x14ac:dyDescent="0.25">
      <c r="A692" s="58"/>
      <c r="C692" s="56">
        <v>2967.3</v>
      </c>
      <c r="G692" s="65">
        <v>2967.3</v>
      </c>
      <c r="J692" s="64">
        <v>48740.94</v>
      </c>
      <c r="M692" s="67" t="s">
        <v>215</v>
      </c>
      <c r="N692" s="67" t="s">
        <v>50</v>
      </c>
      <c r="O692" s="64">
        <v>48740.94</v>
      </c>
    </row>
    <row r="693" spans="1:15" x14ac:dyDescent="0.25">
      <c r="A693" s="58"/>
      <c r="C693" s="57"/>
      <c r="G693" s="64">
        <v>919558.65</v>
      </c>
      <c r="J693" s="64">
        <v>2394.9</v>
      </c>
      <c r="M693" s="67" t="s">
        <v>215</v>
      </c>
      <c r="N693" s="67" t="s">
        <v>50</v>
      </c>
      <c r="O693" s="64">
        <v>2394.9</v>
      </c>
    </row>
    <row r="694" spans="1:15" ht="15.75" x14ac:dyDescent="0.25">
      <c r="A694" s="56">
        <v>10998.72</v>
      </c>
      <c r="C694" s="56">
        <v>57834</v>
      </c>
      <c r="G694" s="65">
        <v>57834</v>
      </c>
      <c r="J694" s="64">
        <v>851446.64</v>
      </c>
      <c r="M694" s="67" t="s">
        <v>215</v>
      </c>
      <c r="N694" s="67" t="s">
        <v>50</v>
      </c>
      <c r="O694" s="64">
        <v>851446.64</v>
      </c>
    </row>
    <row r="695" spans="1:15" ht="15.75" x14ac:dyDescent="0.25">
      <c r="A695" s="56">
        <v>21100.799999999999</v>
      </c>
      <c r="C695" s="57"/>
      <c r="G695" s="64">
        <v>11997</v>
      </c>
      <c r="J695" s="64">
        <v>677375.24</v>
      </c>
      <c r="M695" s="67" t="s">
        <v>215</v>
      </c>
      <c r="N695" s="67" t="s">
        <v>50</v>
      </c>
      <c r="O695" s="64">
        <v>677375.24</v>
      </c>
    </row>
    <row r="696" spans="1:15" ht="15.75" x14ac:dyDescent="0.25">
      <c r="A696" s="56">
        <v>8109</v>
      </c>
      <c r="C696" s="57"/>
      <c r="G696" s="64">
        <v>17345.3</v>
      </c>
      <c r="J696" s="64">
        <v>3645.6</v>
      </c>
      <c r="M696" s="67" t="s">
        <v>215</v>
      </c>
      <c r="N696" s="67" t="s">
        <v>11</v>
      </c>
      <c r="O696" s="64">
        <v>3645.6</v>
      </c>
    </row>
    <row r="697" spans="1:15" ht="15.75" x14ac:dyDescent="0.25">
      <c r="A697" s="56">
        <v>228071.35</v>
      </c>
      <c r="C697" s="56">
        <v>39390.800000000003</v>
      </c>
      <c r="G697" s="65">
        <v>39390.800000000003</v>
      </c>
      <c r="J697" s="64">
        <v>82660.2</v>
      </c>
      <c r="M697" s="67" t="s">
        <v>215</v>
      </c>
      <c r="N697" s="67" t="s">
        <v>50</v>
      </c>
      <c r="O697" s="64">
        <v>82660.2</v>
      </c>
    </row>
    <row r="698" spans="1:15" ht="15.75" x14ac:dyDescent="0.25">
      <c r="A698" s="56">
        <v>12340</v>
      </c>
      <c r="C698" s="57"/>
      <c r="G698" s="64">
        <v>18066.66</v>
      </c>
      <c r="J698" s="64">
        <v>11966</v>
      </c>
      <c r="M698" s="67" t="s">
        <v>216</v>
      </c>
      <c r="N698" s="67" t="s">
        <v>50</v>
      </c>
      <c r="O698" s="64">
        <v>11966</v>
      </c>
    </row>
    <row r="699" spans="1:15" ht="15.75" x14ac:dyDescent="0.25">
      <c r="A699" s="56">
        <v>31366</v>
      </c>
      <c r="C699" s="56">
        <v>18911.2</v>
      </c>
      <c r="G699" s="65">
        <v>18911.2</v>
      </c>
      <c r="J699" s="64">
        <v>187894</v>
      </c>
      <c r="M699" s="67" t="s">
        <v>216</v>
      </c>
      <c r="N699" s="67" t="s">
        <v>50</v>
      </c>
      <c r="O699" s="64">
        <v>187894</v>
      </c>
    </row>
    <row r="700" spans="1:15" ht="15.75" x14ac:dyDescent="0.25">
      <c r="A700" s="56">
        <v>80872.240000000005</v>
      </c>
      <c r="C700" s="56">
        <v>113601.08</v>
      </c>
      <c r="G700" s="65">
        <v>113601.08</v>
      </c>
      <c r="J700" s="64">
        <v>132195</v>
      </c>
      <c r="M700" s="67" t="s">
        <v>216</v>
      </c>
      <c r="N700" s="67" t="s">
        <v>50</v>
      </c>
      <c r="O700" s="64">
        <v>132195</v>
      </c>
    </row>
    <row r="701" spans="1:15" ht="15.75" x14ac:dyDescent="0.25">
      <c r="A701" s="56">
        <v>34706.800000000003</v>
      </c>
      <c r="C701" s="56">
        <v>15975</v>
      </c>
      <c r="G701" s="65">
        <v>15975</v>
      </c>
      <c r="J701" s="64">
        <v>117848</v>
      </c>
      <c r="M701" s="67" t="s">
        <v>216</v>
      </c>
      <c r="N701" s="67" t="s">
        <v>50</v>
      </c>
      <c r="O701" s="64">
        <v>117848</v>
      </c>
    </row>
    <row r="702" spans="1:15" x14ac:dyDescent="0.25">
      <c r="A702" s="58"/>
      <c r="C702" s="57"/>
      <c r="G702" s="64">
        <v>41969.1</v>
      </c>
      <c r="J702" s="64">
        <v>124884</v>
      </c>
      <c r="M702" s="67" t="s">
        <v>216</v>
      </c>
      <c r="N702" s="67" t="s">
        <v>50</v>
      </c>
      <c r="O702" s="64">
        <v>124884</v>
      </c>
    </row>
    <row r="703" spans="1:15" ht="15.75" x14ac:dyDescent="0.25">
      <c r="A703" s="56">
        <v>7426.25</v>
      </c>
      <c r="C703" s="56">
        <v>9622.7999999999993</v>
      </c>
      <c r="G703" s="65">
        <v>9622.7999999999993</v>
      </c>
      <c r="J703" s="64">
        <v>63273</v>
      </c>
      <c r="M703" s="67" t="s">
        <v>216</v>
      </c>
      <c r="N703" s="67" t="s">
        <v>50</v>
      </c>
      <c r="O703" s="64">
        <v>63273</v>
      </c>
    </row>
    <row r="704" spans="1:15" ht="15.75" x14ac:dyDescent="0.25">
      <c r="A704" s="56">
        <v>39384</v>
      </c>
      <c r="C704" s="56">
        <v>341649.34</v>
      </c>
      <c r="G704" s="65">
        <v>341649.34</v>
      </c>
      <c r="J704" s="64">
        <v>205138</v>
      </c>
      <c r="M704" s="67" t="s">
        <v>216</v>
      </c>
      <c r="N704" s="67" t="s">
        <v>50</v>
      </c>
      <c r="O704" s="64">
        <v>205138</v>
      </c>
    </row>
    <row r="705" spans="1:15" ht="15.75" x14ac:dyDescent="0.25">
      <c r="A705" s="56">
        <v>23985</v>
      </c>
      <c r="C705" s="57"/>
      <c r="G705" s="64">
        <v>2687.55</v>
      </c>
      <c r="J705" s="64">
        <v>1365555.6</v>
      </c>
      <c r="M705" s="67" t="s">
        <v>216</v>
      </c>
      <c r="N705" s="67" t="s">
        <v>50</v>
      </c>
      <c r="O705" s="64">
        <v>1365555.6</v>
      </c>
    </row>
    <row r="706" spans="1:15" ht="15.75" x14ac:dyDescent="0.25">
      <c r="A706" s="56">
        <v>37733.199999999997</v>
      </c>
      <c r="C706" s="56">
        <v>25237.15</v>
      </c>
      <c r="G706" s="65">
        <v>25237.15</v>
      </c>
      <c r="J706" s="64">
        <v>54041.25</v>
      </c>
      <c r="M706" s="67" t="s">
        <v>216</v>
      </c>
      <c r="N706" s="67" t="s">
        <v>50</v>
      </c>
      <c r="O706" s="64">
        <v>54041.25</v>
      </c>
    </row>
    <row r="707" spans="1:15" ht="15.75" x14ac:dyDescent="0.25">
      <c r="A707" s="58"/>
      <c r="C707" s="56">
        <v>2687.55</v>
      </c>
      <c r="G707" s="65">
        <v>2687.55</v>
      </c>
      <c r="J707" s="64">
        <v>50757</v>
      </c>
      <c r="M707" s="67" t="s">
        <v>216</v>
      </c>
      <c r="N707" s="67" t="s">
        <v>50</v>
      </c>
      <c r="O707" s="64">
        <v>50757</v>
      </c>
    </row>
    <row r="708" spans="1:15" ht="15.75" x14ac:dyDescent="0.25">
      <c r="A708" s="56">
        <v>27328.5</v>
      </c>
      <c r="C708" s="56">
        <v>98308.6</v>
      </c>
      <c r="G708" s="65">
        <v>98308.6</v>
      </c>
      <c r="J708" s="64">
        <v>427040</v>
      </c>
      <c r="M708" s="67" t="s">
        <v>216</v>
      </c>
      <c r="N708" s="67" t="s">
        <v>50</v>
      </c>
      <c r="O708" s="64">
        <v>427040</v>
      </c>
    </row>
    <row r="709" spans="1:15" ht="15.75" x14ac:dyDescent="0.25">
      <c r="A709" s="56">
        <v>144966</v>
      </c>
      <c r="C709" s="56">
        <v>16408.7</v>
      </c>
      <c r="G709" s="65">
        <v>16408.7</v>
      </c>
      <c r="J709" s="64">
        <v>70245.279999999999</v>
      </c>
      <c r="M709" s="67" t="s">
        <v>217</v>
      </c>
      <c r="N709" s="67" t="s">
        <v>50</v>
      </c>
      <c r="O709" s="64">
        <v>70245.279999999999</v>
      </c>
    </row>
    <row r="710" spans="1:15" ht="15.75" x14ac:dyDescent="0.25">
      <c r="A710" s="56">
        <v>64839.6</v>
      </c>
      <c r="C710" s="56">
        <v>59324.76</v>
      </c>
      <c r="G710" s="65">
        <v>59324.76</v>
      </c>
      <c r="J710" s="64">
        <v>19512</v>
      </c>
      <c r="M710" s="67" t="s">
        <v>217</v>
      </c>
      <c r="N710" s="67" t="s">
        <v>50</v>
      </c>
      <c r="O710" s="64">
        <v>19512</v>
      </c>
    </row>
    <row r="711" spans="1:15" ht="15.75" x14ac:dyDescent="0.25">
      <c r="A711" s="58"/>
      <c r="C711" s="56">
        <v>27516.75</v>
      </c>
      <c r="G711" s="65">
        <v>27516.75</v>
      </c>
      <c r="J711" s="64">
        <v>660027</v>
      </c>
      <c r="M711" s="67" t="s">
        <v>218</v>
      </c>
      <c r="N711" s="67" t="s">
        <v>50</v>
      </c>
      <c r="O711" s="64">
        <v>660027</v>
      </c>
    </row>
    <row r="712" spans="1:15" ht="15.75" x14ac:dyDescent="0.25">
      <c r="A712" s="56">
        <v>2167.9899999999998</v>
      </c>
      <c r="C712" s="56">
        <v>9476.6</v>
      </c>
      <c r="G712" s="65">
        <v>9476.6</v>
      </c>
      <c r="J712" s="64">
        <v>4910.3999999999996</v>
      </c>
      <c r="M712" s="67" t="s">
        <v>19</v>
      </c>
      <c r="N712" s="67" t="s">
        <v>50</v>
      </c>
      <c r="O712" s="64">
        <v>4910.3999999999996</v>
      </c>
    </row>
    <row r="713" spans="1:15" ht="15.75" x14ac:dyDescent="0.25">
      <c r="A713" s="56">
        <v>108459</v>
      </c>
      <c r="C713" s="56">
        <v>31823.68</v>
      </c>
      <c r="G713" s="65">
        <v>31823.68</v>
      </c>
      <c r="J713" s="64">
        <v>3361364.3</v>
      </c>
      <c r="M713" s="67" t="s">
        <v>19</v>
      </c>
      <c r="N713" s="67" t="s">
        <v>50</v>
      </c>
      <c r="O713" s="64">
        <v>3361364.3</v>
      </c>
    </row>
    <row r="714" spans="1:15" ht="15.75" x14ac:dyDescent="0.25">
      <c r="A714" s="56">
        <v>266555.55</v>
      </c>
      <c r="C714" s="56">
        <v>74571</v>
      </c>
      <c r="G714" s="65">
        <v>74571</v>
      </c>
      <c r="J714" s="64">
        <v>4140.75</v>
      </c>
      <c r="M714" s="67" t="s">
        <v>19</v>
      </c>
      <c r="N714" s="67" t="s">
        <v>50</v>
      </c>
      <c r="O714" s="64">
        <v>4140.75</v>
      </c>
    </row>
    <row r="715" spans="1:15" ht="15.75" x14ac:dyDescent="0.25">
      <c r="A715" s="56">
        <v>61004</v>
      </c>
      <c r="C715" s="56">
        <v>108599</v>
      </c>
      <c r="G715" s="65">
        <v>108599</v>
      </c>
      <c r="J715" s="64">
        <v>1058407.3500000001</v>
      </c>
      <c r="M715" s="67" t="s">
        <v>19</v>
      </c>
      <c r="N715" s="67" t="s">
        <v>11</v>
      </c>
      <c r="O715" s="64">
        <v>1058407.3500000001</v>
      </c>
    </row>
    <row r="716" spans="1:15" ht="15.75" x14ac:dyDescent="0.25">
      <c r="A716" s="56">
        <v>378483.75</v>
      </c>
      <c r="C716" s="56">
        <v>79218.52</v>
      </c>
      <c r="G716" s="65">
        <v>79218.52</v>
      </c>
      <c r="J716" s="64">
        <v>31892.639999999999</v>
      </c>
      <c r="M716" s="67" t="s">
        <v>20</v>
      </c>
      <c r="N716" s="67" t="s">
        <v>50</v>
      </c>
      <c r="O716" s="64">
        <v>31892.639999999999</v>
      </c>
    </row>
    <row r="717" spans="1:15" ht="15.75" x14ac:dyDescent="0.25">
      <c r="A717" s="56">
        <v>142915.5</v>
      </c>
      <c r="C717" s="57"/>
      <c r="G717" s="64">
        <v>133816</v>
      </c>
      <c r="J717" s="64">
        <v>25657.279999999999</v>
      </c>
      <c r="M717" s="67" t="s">
        <v>20</v>
      </c>
      <c r="N717" s="67" t="s">
        <v>50</v>
      </c>
      <c r="O717" s="64">
        <v>25657.279999999999</v>
      </c>
    </row>
    <row r="718" spans="1:15" ht="15.75" x14ac:dyDescent="0.25">
      <c r="A718" s="56">
        <v>14972</v>
      </c>
      <c r="C718" s="57"/>
      <c r="G718" s="64">
        <v>2929665.3</v>
      </c>
      <c r="J718" s="64">
        <v>174495.51</v>
      </c>
      <c r="M718" s="67" t="s">
        <v>20</v>
      </c>
      <c r="N718" s="67" t="s">
        <v>11</v>
      </c>
      <c r="O718" s="64">
        <v>174495.51</v>
      </c>
    </row>
    <row r="719" spans="1:15" ht="15.75" x14ac:dyDescent="0.25">
      <c r="A719" s="56">
        <v>68600</v>
      </c>
      <c r="C719" s="56">
        <v>17115</v>
      </c>
      <c r="G719" s="65">
        <v>17115</v>
      </c>
      <c r="J719" s="64">
        <v>5230106.8</v>
      </c>
      <c r="M719" s="67" t="s">
        <v>20</v>
      </c>
      <c r="N719" s="67" t="s">
        <v>50</v>
      </c>
      <c r="O719" s="64">
        <v>5230106.8</v>
      </c>
    </row>
    <row r="720" spans="1:15" ht="15.75" x14ac:dyDescent="0.25">
      <c r="A720" s="56">
        <v>12432.1</v>
      </c>
      <c r="C720" s="56">
        <v>97401</v>
      </c>
      <c r="G720" s="65">
        <v>97401</v>
      </c>
      <c r="J720" s="64">
        <v>26401.32</v>
      </c>
      <c r="M720" s="67" t="s">
        <v>22</v>
      </c>
      <c r="N720" s="67" t="s">
        <v>50</v>
      </c>
      <c r="O720" s="64">
        <v>26401.32</v>
      </c>
    </row>
    <row r="721" spans="1:15" ht="15.75" x14ac:dyDescent="0.25">
      <c r="A721" s="58"/>
      <c r="C721" s="56">
        <v>127964.9</v>
      </c>
      <c r="G721" s="65">
        <v>127964.9</v>
      </c>
      <c r="J721" s="64">
        <v>2023070.08</v>
      </c>
      <c r="M721" s="67" t="s">
        <v>22</v>
      </c>
      <c r="N721" s="67" t="s">
        <v>50</v>
      </c>
      <c r="O721" s="64">
        <v>2023070.08</v>
      </c>
    </row>
    <row r="722" spans="1:15" ht="15.75" x14ac:dyDescent="0.25">
      <c r="A722" s="56">
        <v>40973.25</v>
      </c>
      <c r="C722" s="56">
        <v>4363.8</v>
      </c>
      <c r="G722" s="65">
        <v>4363.8</v>
      </c>
      <c r="J722" s="64">
        <v>238816</v>
      </c>
      <c r="M722" s="67" t="s">
        <v>22</v>
      </c>
      <c r="N722" s="67" t="s">
        <v>50</v>
      </c>
      <c r="O722" s="64">
        <v>238816</v>
      </c>
    </row>
    <row r="723" spans="1:15" ht="15.75" x14ac:dyDescent="0.25">
      <c r="A723" s="56">
        <v>79621.78</v>
      </c>
      <c r="C723" s="56">
        <v>4246.2</v>
      </c>
      <c r="G723" s="65">
        <v>4246.2</v>
      </c>
      <c r="J723" s="64">
        <v>59702</v>
      </c>
      <c r="M723" s="67" t="s">
        <v>22</v>
      </c>
      <c r="N723" s="67" t="s">
        <v>50</v>
      </c>
      <c r="O723" s="64">
        <v>59702</v>
      </c>
    </row>
    <row r="724" spans="1:15" ht="15.75" x14ac:dyDescent="0.25">
      <c r="A724" s="58"/>
      <c r="C724" s="56">
        <v>18322.080000000002</v>
      </c>
      <c r="G724" s="65">
        <v>18322.080000000002</v>
      </c>
      <c r="J724" s="64">
        <v>1802247.75</v>
      </c>
      <c r="M724" s="67" t="s">
        <v>22</v>
      </c>
      <c r="N724" s="67" t="s">
        <v>50</v>
      </c>
      <c r="O724" s="64">
        <v>1802247.75</v>
      </c>
    </row>
    <row r="725" spans="1:15" ht="15.75" x14ac:dyDescent="0.25">
      <c r="A725" s="58"/>
      <c r="C725" s="56">
        <v>16258.68</v>
      </c>
      <c r="G725" s="65">
        <v>16258.68</v>
      </c>
      <c r="J725" s="64">
        <v>35260.800000000003</v>
      </c>
      <c r="M725" s="67" t="s">
        <v>22</v>
      </c>
      <c r="N725" s="67" t="s">
        <v>50</v>
      </c>
      <c r="O725" s="64">
        <v>35260.800000000003</v>
      </c>
    </row>
    <row r="726" spans="1:15" ht="15.75" x14ac:dyDescent="0.25">
      <c r="A726" s="56">
        <v>35159.25</v>
      </c>
      <c r="C726" s="56">
        <v>21819</v>
      </c>
      <c r="G726" s="65">
        <v>21819</v>
      </c>
      <c r="J726" s="64">
        <v>47110.5</v>
      </c>
      <c r="M726" s="67" t="s">
        <v>22</v>
      </c>
      <c r="N726" s="67" t="s">
        <v>50</v>
      </c>
      <c r="O726" s="64">
        <v>47110.5</v>
      </c>
    </row>
    <row r="727" spans="1:15" ht="15.75" x14ac:dyDescent="0.25">
      <c r="A727" s="56">
        <v>143433.20000000001</v>
      </c>
      <c r="C727" s="57"/>
      <c r="G727" s="64">
        <v>845838.7</v>
      </c>
      <c r="J727" s="64">
        <v>28310.400000000001</v>
      </c>
      <c r="M727" s="67" t="s">
        <v>22</v>
      </c>
      <c r="N727" s="67" t="s">
        <v>50</v>
      </c>
      <c r="O727" s="64">
        <v>28310.400000000001</v>
      </c>
    </row>
    <row r="728" spans="1:15" ht="15.75" x14ac:dyDescent="0.25">
      <c r="A728" s="56">
        <v>14972</v>
      </c>
      <c r="C728" s="56">
        <v>45570</v>
      </c>
      <c r="G728" s="65">
        <v>45570</v>
      </c>
      <c r="J728" s="64">
        <v>956904</v>
      </c>
      <c r="M728" s="67" t="s">
        <v>22</v>
      </c>
      <c r="N728" s="67" t="s">
        <v>50</v>
      </c>
      <c r="O728" s="64">
        <v>956904</v>
      </c>
    </row>
    <row r="729" spans="1:15" ht="15.75" x14ac:dyDescent="0.25">
      <c r="A729" s="58"/>
      <c r="C729" s="56">
        <v>57353.4</v>
      </c>
      <c r="G729" s="65">
        <v>57353.4</v>
      </c>
      <c r="J729" s="64">
        <v>3182916</v>
      </c>
      <c r="M729" s="67" t="s">
        <v>22</v>
      </c>
      <c r="N729" s="67" t="s">
        <v>50</v>
      </c>
      <c r="O729" s="64">
        <v>3182916</v>
      </c>
    </row>
    <row r="730" spans="1:15" ht="15.75" x14ac:dyDescent="0.25">
      <c r="A730" s="56">
        <v>25438.799999999999</v>
      </c>
      <c r="C730" s="56">
        <v>97923</v>
      </c>
      <c r="G730" s="65">
        <v>97923</v>
      </c>
      <c r="J730" s="64">
        <v>105741.08</v>
      </c>
      <c r="M730" s="67" t="s">
        <v>22</v>
      </c>
      <c r="N730" s="67" t="s">
        <v>11</v>
      </c>
      <c r="O730" s="64">
        <v>105741.08</v>
      </c>
    </row>
    <row r="731" spans="1:15" ht="15.75" x14ac:dyDescent="0.25">
      <c r="A731" s="56">
        <v>6594</v>
      </c>
      <c r="C731" s="56">
        <v>273420</v>
      </c>
      <c r="G731" s="65">
        <v>273420</v>
      </c>
      <c r="J731" s="64">
        <v>22001.759999999998</v>
      </c>
      <c r="M731" s="67" t="s">
        <v>22</v>
      </c>
      <c r="N731" s="67" t="s">
        <v>11</v>
      </c>
      <c r="O731" s="64">
        <v>22001.759999999998</v>
      </c>
    </row>
    <row r="732" spans="1:15" ht="15.75" x14ac:dyDescent="0.25">
      <c r="A732" s="56">
        <v>30838.400000000001</v>
      </c>
      <c r="C732" s="56">
        <v>20728.400000000001</v>
      </c>
      <c r="G732" s="65">
        <v>20728.400000000001</v>
      </c>
      <c r="J732" s="64">
        <v>3231</v>
      </c>
      <c r="M732" s="67" t="s">
        <v>26</v>
      </c>
      <c r="N732" s="67" t="s">
        <v>11</v>
      </c>
      <c r="O732" s="64">
        <v>3231</v>
      </c>
    </row>
    <row r="733" spans="1:15" ht="15.75" x14ac:dyDescent="0.25">
      <c r="A733" s="56">
        <v>4907.7</v>
      </c>
      <c r="C733" s="57"/>
      <c r="G733" s="64">
        <v>173875.15</v>
      </c>
      <c r="J733" s="64">
        <v>206065.2</v>
      </c>
      <c r="M733" s="67" t="s">
        <v>26</v>
      </c>
      <c r="N733" s="67" t="s">
        <v>50</v>
      </c>
      <c r="O733" s="64">
        <v>206065.2</v>
      </c>
    </row>
    <row r="734" spans="1:15" ht="15.75" x14ac:dyDescent="0.25">
      <c r="A734" s="56">
        <v>509211</v>
      </c>
      <c r="C734" s="56">
        <v>24984</v>
      </c>
      <c r="G734" s="65">
        <v>24984</v>
      </c>
      <c r="J734" s="64">
        <v>356984</v>
      </c>
      <c r="M734" s="67" t="s">
        <v>26</v>
      </c>
      <c r="N734" s="67" t="s">
        <v>50</v>
      </c>
      <c r="O734" s="64">
        <v>356984</v>
      </c>
    </row>
    <row r="735" spans="1:15" ht="15.75" x14ac:dyDescent="0.25">
      <c r="A735" s="56">
        <v>43419.56</v>
      </c>
      <c r="C735" s="56">
        <v>8858.56</v>
      </c>
      <c r="G735" s="65">
        <v>8858.56</v>
      </c>
      <c r="J735" s="64">
        <v>267738</v>
      </c>
      <c r="M735" s="67" t="s">
        <v>26</v>
      </c>
      <c r="N735" s="67" t="s">
        <v>50</v>
      </c>
      <c r="O735" s="64">
        <v>267738</v>
      </c>
    </row>
    <row r="736" spans="1:15" ht="15.75" x14ac:dyDescent="0.25">
      <c r="A736" s="56">
        <v>17363.25</v>
      </c>
      <c r="C736" s="58"/>
      <c r="G736" s="58"/>
      <c r="J736" s="64">
        <v>489954</v>
      </c>
      <c r="M736" s="67" t="s">
        <v>26</v>
      </c>
      <c r="N736" s="67" t="s">
        <v>50</v>
      </c>
      <c r="O736" s="64">
        <v>489954</v>
      </c>
    </row>
    <row r="737" spans="1:15" ht="15.75" x14ac:dyDescent="0.25">
      <c r="A737" s="56">
        <v>78468.75</v>
      </c>
      <c r="C737" s="59" t="s">
        <v>9</v>
      </c>
      <c r="G737" s="64">
        <v>29371.75</v>
      </c>
      <c r="J737" s="64">
        <v>310884.2</v>
      </c>
      <c r="M737" s="67" t="s">
        <v>26</v>
      </c>
      <c r="N737" s="67" t="s">
        <v>50</v>
      </c>
      <c r="O737" s="64">
        <v>310884.2</v>
      </c>
    </row>
    <row r="738" spans="1:15" ht="15.75" x14ac:dyDescent="0.25">
      <c r="A738" s="56">
        <v>24422.400000000001</v>
      </c>
      <c r="C738" s="56">
        <v>87182.9</v>
      </c>
      <c r="G738" s="65">
        <v>87182.9</v>
      </c>
      <c r="J738" s="64">
        <v>30840</v>
      </c>
      <c r="M738" s="67" t="s">
        <v>26</v>
      </c>
      <c r="N738" s="67" t="s">
        <v>50</v>
      </c>
      <c r="O738" s="64">
        <v>30840</v>
      </c>
    </row>
    <row r="739" spans="1:15" ht="15.75" x14ac:dyDescent="0.25">
      <c r="A739" s="56">
        <v>166357.5</v>
      </c>
      <c r="C739" s="57"/>
      <c r="G739" s="64">
        <v>47278</v>
      </c>
      <c r="J739" s="64">
        <v>319825</v>
      </c>
      <c r="M739" s="67" t="s">
        <v>26</v>
      </c>
      <c r="N739" s="67" t="s">
        <v>50</v>
      </c>
      <c r="O739" s="64">
        <v>319825</v>
      </c>
    </row>
    <row r="740" spans="1:15" ht="15.75" x14ac:dyDescent="0.25">
      <c r="A740" s="56">
        <v>12340</v>
      </c>
      <c r="C740" s="57"/>
      <c r="G740" s="64">
        <v>61555.199999999997</v>
      </c>
      <c r="J740" s="64">
        <v>53023</v>
      </c>
      <c r="M740" s="67" t="s">
        <v>28</v>
      </c>
      <c r="N740" s="67" t="s">
        <v>11</v>
      </c>
      <c r="O740" s="64">
        <v>53023</v>
      </c>
    </row>
    <row r="741" spans="1:15" ht="15.75" x14ac:dyDescent="0.25">
      <c r="A741" s="56">
        <v>37720</v>
      </c>
      <c r="C741" s="57"/>
      <c r="G741" s="64">
        <v>61555.199999999997</v>
      </c>
      <c r="J741" s="64">
        <v>23872</v>
      </c>
      <c r="M741" s="67" t="s">
        <v>28</v>
      </c>
      <c r="N741" s="67" t="s">
        <v>50</v>
      </c>
      <c r="O741" s="64">
        <v>23872</v>
      </c>
    </row>
    <row r="742" spans="1:15" ht="15.75" x14ac:dyDescent="0.25">
      <c r="A742" s="56">
        <v>28057.5</v>
      </c>
      <c r="C742" s="56">
        <v>13971.3</v>
      </c>
      <c r="G742" s="65">
        <v>13865.6</v>
      </c>
      <c r="J742" s="64">
        <v>22852</v>
      </c>
      <c r="M742" s="67" t="s">
        <v>28</v>
      </c>
      <c r="N742" s="67" t="s">
        <v>50</v>
      </c>
      <c r="O742" s="64">
        <v>22852</v>
      </c>
    </row>
    <row r="743" spans="1:15" ht="15.75" x14ac:dyDescent="0.25">
      <c r="A743" s="56">
        <v>51090.239999999998</v>
      </c>
      <c r="C743" s="56">
        <v>2332.5</v>
      </c>
      <c r="G743" s="65">
        <v>2332.5</v>
      </c>
      <c r="J743" s="64">
        <v>6120</v>
      </c>
      <c r="M743" s="67" t="s">
        <v>28</v>
      </c>
      <c r="N743" s="67" t="s">
        <v>50</v>
      </c>
      <c r="O743" s="64">
        <v>6120</v>
      </c>
    </row>
    <row r="744" spans="1:15" ht="15.75" x14ac:dyDescent="0.25">
      <c r="A744" s="56">
        <v>254700</v>
      </c>
      <c r="C744" s="56">
        <v>17593.240000000002</v>
      </c>
      <c r="G744" s="65">
        <v>17593.240000000002</v>
      </c>
      <c r="J744" s="64">
        <v>15987.36</v>
      </c>
      <c r="M744" s="67" t="s">
        <v>29</v>
      </c>
      <c r="N744" s="67" t="s">
        <v>50</v>
      </c>
      <c r="O744" s="64">
        <v>15987.36</v>
      </c>
    </row>
    <row r="745" spans="1:15" ht="15.75" x14ac:dyDescent="0.25">
      <c r="A745" s="58"/>
      <c r="C745" s="56">
        <v>4439.3999999999996</v>
      </c>
      <c r="G745" s="65">
        <v>4439.3999999999996</v>
      </c>
      <c r="J745" s="64">
        <v>30371.9</v>
      </c>
      <c r="M745" s="67" t="s">
        <v>29</v>
      </c>
      <c r="N745" s="67" t="s">
        <v>11</v>
      </c>
      <c r="O745" s="64">
        <v>30371.9</v>
      </c>
    </row>
    <row r="746" spans="1:15" ht="15.75" x14ac:dyDescent="0.25">
      <c r="A746" s="56">
        <v>69975</v>
      </c>
      <c r="C746" s="57"/>
      <c r="G746" s="64">
        <v>26111.7</v>
      </c>
      <c r="J746" s="64">
        <v>139687.20000000001</v>
      </c>
      <c r="M746" s="67" t="s">
        <v>29</v>
      </c>
      <c r="N746" s="67" t="s">
        <v>11</v>
      </c>
      <c r="O746" s="64">
        <v>139687.20000000001</v>
      </c>
    </row>
    <row r="747" spans="1:15" ht="15.75" x14ac:dyDescent="0.25">
      <c r="A747" s="56">
        <v>5093.5200000000004</v>
      </c>
      <c r="C747" s="56">
        <v>2891.7</v>
      </c>
      <c r="G747" s="65">
        <v>2891.7</v>
      </c>
      <c r="J747" s="64">
        <v>444208.3</v>
      </c>
      <c r="M747" s="67" t="s">
        <v>29</v>
      </c>
      <c r="N747" s="67" t="s">
        <v>50</v>
      </c>
      <c r="O747" s="64">
        <v>444208.3</v>
      </c>
    </row>
    <row r="748" spans="1:15" ht="15.75" x14ac:dyDescent="0.25">
      <c r="A748" s="56">
        <v>12976.5</v>
      </c>
      <c r="C748" s="56">
        <v>36744</v>
      </c>
      <c r="G748" s="65">
        <v>36744</v>
      </c>
      <c r="J748" s="64">
        <v>846526.4</v>
      </c>
      <c r="M748" s="67" t="s">
        <v>29</v>
      </c>
      <c r="N748" s="67" t="s">
        <v>50</v>
      </c>
      <c r="O748" s="64">
        <v>846526.4</v>
      </c>
    </row>
    <row r="749" spans="1:15" ht="15.75" x14ac:dyDescent="0.25">
      <c r="A749" s="56">
        <v>30915</v>
      </c>
      <c r="C749" s="56">
        <v>7200</v>
      </c>
      <c r="G749" s="65">
        <v>7200</v>
      </c>
      <c r="J749" s="64">
        <v>169350.48</v>
      </c>
      <c r="M749" s="67" t="s">
        <v>29</v>
      </c>
      <c r="N749" s="67" t="s">
        <v>50</v>
      </c>
      <c r="O749" s="64">
        <v>169350.48</v>
      </c>
    </row>
    <row r="750" spans="1:15" ht="15.75" x14ac:dyDescent="0.25">
      <c r="A750" s="56">
        <v>140287.5</v>
      </c>
      <c r="C750" s="57"/>
      <c r="G750" s="64">
        <v>66067.5</v>
      </c>
      <c r="J750" s="64">
        <v>312387.20000000001</v>
      </c>
      <c r="M750" s="67" t="s">
        <v>29</v>
      </c>
      <c r="N750" s="67" t="s">
        <v>50</v>
      </c>
      <c r="O750" s="64">
        <v>312387.20000000001</v>
      </c>
    </row>
    <row r="751" spans="1:15" ht="15.75" x14ac:dyDescent="0.25">
      <c r="A751" s="56">
        <v>14082</v>
      </c>
      <c r="C751" s="56">
        <v>438417</v>
      </c>
      <c r="G751" s="65">
        <v>684495</v>
      </c>
      <c r="J751" s="64">
        <v>1163225</v>
      </c>
      <c r="M751" s="67" t="s">
        <v>219</v>
      </c>
      <c r="N751" s="67" t="s">
        <v>50</v>
      </c>
      <c r="O751" s="64">
        <v>1163225</v>
      </c>
    </row>
    <row r="752" spans="1:15" ht="15.75" x14ac:dyDescent="0.25">
      <c r="A752" s="58"/>
      <c r="C752" s="56">
        <v>35982.800000000003</v>
      </c>
      <c r="G752" s="65">
        <v>35982.800000000003</v>
      </c>
      <c r="J752" s="64">
        <v>139785</v>
      </c>
      <c r="M752" s="67" t="s">
        <v>219</v>
      </c>
      <c r="N752" s="67" t="s">
        <v>50</v>
      </c>
      <c r="O752" s="64">
        <v>139785</v>
      </c>
    </row>
    <row r="753" spans="1:15" ht="15.75" x14ac:dyDescent="0.25">
      <c r="A753" s="56">
        <v>1196.25</v>
      </c>
      <c r="C753" s="56">
        <v>76650</v>
      </c>
      <c r="G753" s="65">
        <v>76650</v>
      </c>
      <c r="J753" s="64">
        <v>10705924.039999999</v>
      </c>
      <c r="M753" s="67" t="s">
        <v>32</v>
      </c>
      <c r="N753" s="67" t="s">
        <v>11</v>
      </c>
      <c r="O753" s="64">
        <v>10705924.039999999</v>
      </c>
    </row>
    <row r="754" spans="1:15" ht="15.75" x14ac:dyDescent="0.25">
      <c r="A754" s="56">
        <v>8238</v>
      </c>
      <c r="C754" s="56">
        <v>37233</v>
      </c>
      <c r="G754" s="65">
        <v>37233</v>
      </c>
      <c r="J754" s="64">
        <v>323172.8</v>
      </c>
      <c r="M754" s="67" t="s">
        <v>32</v>
      </c>
      <c r="N754" s="67" t="s">
        <v>50</v>
      </c>
      <c r="O754" s="64">
        <v>323172.8</v>
      </c>
    </row>
    <row r="755" spans="1:15" ht="15.75" x14ac:dyDescent="0.25">
      <c r="A755" s="56">
        <v>8768</v>
      </c>
      <c r="C755" s="56">
        <v>75427.8</v>
      </c>
      <c r="G755" s="65">
        <v>75427.8</v>
      </c>
      <c r="J755" s="64">
        <v>16668.32</v>
      </c>
      <c r="M755" s="67" t="s">
        <v>32</v>
      </c>
      <c r="N755" s="67" t="s">
        <v>11</v>
      </c>
      <c r="O755" s="64">
        <v>16668.32</v>
      </c>
    </row>
    <row r="756" spans="1:15" ht="15.75" x14ac:dyDescent="0.25">
      <c r="A756" s="58"/>
      <c r="C756" s="56">
        <v>2332.5</v>
      </c>
      <c r="G756" s="65">
        <v>2332.5</v>
      </c>
      <c r="J756" s="64">
        <v>27343.9</v>
      </c>
      <c r="M756" s="67" t="s">
        <v>34</v>
      </c>
      <c r="N756" s="67" t="s">
        <v>50</v>
      </c>
      <c r="O756" s="64">
        <v>27343.9</v>
      </c>
    </row>
    <row r="757" spans="1:15" ht="15.75" x14ac:dyDescent="0.25">
      <c r="A757" s="56">
        <v>17584</v>
      </c>
      <c r="C757" s="56">
        <v>155344</v>
      </c>
      <c r="G757" s="65">
        <v>155344</v>
      </c>
      <c r="J757" s="64">
        <v>94299</v>
      </c>
      <c r="M757" s="67" t="s">
        <v>34</v>
      </c>
      <c r="N757" s="67" t="s">
        <v>11</v>
      </c>
      <c r="O757" s="64">
        <v>94299</v>
      </c>
    </row>
    <row r="758" spans="1:15" ht="15.75" x14ac:dyDescent="0.25">
      <c r="A758" s="56">
        <v>560726.25</v>
      </c>
      <c r="C758" s="56">
        <v>26077.8</v>
      </c>
      <c r="G758" s="65">
        <v>26077.8</v>
      </c>
      <c r="J758" s="64">
        <v>145011.70000000001</v>
      </c>
      <c r="M758" s="67" t="s">
        <v>34</v>
      </c>
      <c r="N758" s="67" t="s">
        <v>50</v>
      </c>
      <c r="O758" s="64">
        <v>145011.70000000001</v>
      </c>
    </row>
    <row r="759" spans="1:15" x14ac:dyDescent="0.25">
      <c r="A759" s="58"/>
      <c r="C759" s="57"/>
      <c r="G759" s="64">
        <v>1720665.2</v>
      </c>
      <c r="J759" s="64">
        <v>109222.2</v>
      </c>
      <c r="M759" s="67" t="s">
        <v>34</v>
      </c>
      <c r="N759" s="67" t="s">
        <v>50</v>
      </c>
      <c r="O759" s="64">
        <v>109222.2</v>
      </c>
    </row>
    <row r="760" spans="1:15" ht="15.75" x14ac:dyDescent="0.25">
      <c r="A760" s="56">
        <v>44980.5</v>
      </c>
      <c r="C760" s="56">
        <v>373855</v>
      </c>
      <c r="G760" s="65">
        <v>373855</v>
      </c>
      <c r="J760" s="64">
        <v>44368</v>
      </c>
      <c r="M760" s="67" t="s">
        <v>34</v>
      </c>
      <c r="N760" s="67" t="s">
        <v>50</v>
      </c>
      <c r="O760" s="64">
        <v>44368</v>
      </c>
    </row>
    <row r="761" spans="1:15" ht="15.75" x14ac:dyDescent="0.25">
      <c r="A761" s="56">
        <v>55457.599999999999</v>
      </c>
      <c r="C761" s="56">
        <v>61392.99</v>
      </c>
      <c r="G761" s="65">
        <v>47118.44</v>
      </c>
      <c r="J761" s="64">
        <v>5223.75</v>
      </c>
      <c r="M761" s="67" t="s">
        <v>34</v>
      </c>
      <c r="N761" s="67" t="s">
        <v>11</v>
      </c>
      <c r="O761" s="64">
        <v>5223.75</v>
      </c>
    </row>
    <row r="762" spans="1:15" ht="15.75" x14ac:dyDescent="0.25">
      <c r="A762" s="56">
        <v>69576</v>
      </c>
      <c r="C762" s="56">
        <v>228091.05</v>
      </c>
      <c r="G762" s="65">
        <v>228091.05</v>
      </c>
      <c r="J762" s="64">
        <v>59692.800000000003</v>
      </c>
      <c r="M762" s="67" t="s">
        <v>34</v>
      </c>
      <c r="N762" s="67" t="s">
        <v>50</v>
      </c>
      <c r="O762" s="64">
        <v>59692.800000000003</v>
      </c>
    </row>
    <row r="763" spans="1:15" ht="15.75" x14ac:dyDescent="0.25">
      <c r="A763" s="56">
        <v>111704.02</v>
      </c>
      <c r="C763" s="57"/>
      <c r="G763" s="64">
        <v>27128.7</v>
      </c>
      <c r="J763" s="64">
        <v>400107.6</v>
      </c>
      <c r="M763" s="67" t="s">
        <v>34</v>
      </c>
      <c r="N763" s="67" t="s">
        <v>50</v>
      </c>
      <c r="O763" s="64">
        <v>400107.6</v>
      </c>
    </row>
    <row r="764" spans="1:15" ht="15.75" x14ac:dyDescent="0.25">
      <c r="A764" s="56">
        <v>5782.5</v>
      </c>
      <c r="C764" s="56">
        <v>5346.6</v>
      </c>
      <c r="G764" s="65">
        <v>5346.6</v>
      </c>
      <c r="J764" s="64">
        <v>5331893</v>
      </c>
      <c r="M764" s="67" t="s">
        <v>220</v>
      </c>
      <c r="N764" s="67" t="s">
        <v>50</v>
      </c>
      <c r="O764" s="64">
        <v>5331893</v>
      </c>
    </row>
    <row r="765" spans="1:15" ht="15.75" x14ac:dyDescent="0.25">
      <c r="A765" s="58"/>
      <c r="C765" s="56">
        <v>17189.2</v>
      </c>
      <c r="G765" s="65">
        <v>17189.2</v>
      </c>
      <c r="J765" s="64">
        <v>6684352.2800000003</v>
      </c>
      <c r="M765" s="67" t="s">
        <v>221</v>
      </c>
      <c r="N765" s="67" t="s">
        <v>50</v>
      </c>
      <c r="O765" s="64">
        <v>6684352.2800000003</v>
      </c>
    </row>
    <row r="766" spans="1:15" ht="15.75" x14ac:dyDescent="0.25">
      <c r="A766" s="56">
        <v>33422</v>
      </c>
      <c r="C766" s="56">
        <v>87113.600000000006</v>
      </c>
      <c r="G766" s="65">
        <v>87113.600000000006</v>
      </c>
      <c r="J766" s="64">
        <v>200283</v>
      </c>
      <c r="M766" s="67" t="s">
        <v>221</v>
      </c>
      <c r="N766" s="67" t="s">
        <v>50</v>
      </c>
      <c r="O766" s="64">
        <v>200283</v>
      </c>
    </row>
    <row r="767" spans="1:15" ht="15.75" x14ac:dyDescent="0.25">
      <c r="A767" s="58"/>
      <c r="C767" s="56">
        <v>18649.55</v>
      </c>
      <c r="G767" s="65">
        <v>18649.55</v>
      </c>
      <c r="J767" s="64">
        <v>83185.2</v>
      </c>
      <c r="M767" s="67" t="s">
        <v>221</v>
      </c>
      <c r="N767" s="67" t="s">
        <v>50</v>
      </c>
      <c r="O767" s="64">
        <v>83185.2</v>
      </c>
    </row>
    <row r="768" spans="1:15" ht="15.75" x14ac:dyDescent="0.25">
      <c r="A768" s="58"/>
      <c r="C768" s="56">
        <v>28128</v>
      </c>
      <c r="G768" s="65">
        <v>28128</v>
      </c>
      <c r="J768" s="64">
        <v>16050.44</v>
      </c>
      <c r="M768" s="67" t="s">
        <v>38</v>
      </c>
      <c r="N768" s="67" t="s">
        <v>11</v>
      </c>
      <c r="O768" s="64">
        <v>16050.44</v>
      </c>
    </row>
    <row r="769" spans="1:15" ht="15.75" x14ac:dyDescent="0.25">
      <c r="A769" s="56">
        <v>38141.25</v>
      </c>
      <c r="C769" s="57"/>
      <c r="G769" s="64">
        <v>48987.9</v>
      </c>
      <c r="J769" s="64">
        <v>16895.2</v>
      </c>
      <c r="M769" s="67" t="s">
        <v>38</v>
      </c>
      <c r="N769" s="67" t="s">
        <v>50</v>
      </c>
      <c r="O769" s="64">
        <v>16895.2</v>
      </c>
    </row>
    <row r="770" spans="1:15" ht="15.75" x14ac:dyDescent="0.25">
      <c r="A770" s="56">
        <v>7377.75</v>
      </c>
      <c r="C770" s="56">
        <v>18134.05</v>
      </c>
      <c r="G770" s="65">
        <v>18134.05</v>
      </c>
      <c r="J770" s="64">
        <v>46078.5</v>
      </c>
      <c r="M770" s="67" t="s">
        <v>38</v>
      </c>
      <c r="N770" s="67" t="s">
        <v>50</v>
      </c>
      <c r="O770" s="64">
        <v>46078.5</v>
      </c>
    </row>
    <row r="771" spans="1:15" ht="15.75" x14ac:dyDescent="0.25">
      <c r="A771" s="56">
        <v>36397.5</v>
      </c>
      <c r="C771" s="56">
        <v>105894.37</v>
      </c>
      <c r="G771" s="65">
        <v>105894.37</v>
      </c>
      <c r="J771" s="64">
        <v>14500.8</v>
      </c>
      <c r="M771" s="67" t="s">
        <v>38</v>
      </c>
      <c r="N771" s="67" t="s">
        <v>50</v>
      </c>
      <c r="O771" s="64">
        <v>14500.8</v>
      </c>
    </row>
    <row r="772" spans="1:15" ht="15.75" x14ac:dyDescent="0.25">
      <c r="A772" s="56">
        <v>6878.4</v>
      </c>
      <c r="C772" s="57"/>
      <c r="G772" s="64">
        <v>4852.8</v>
      </c>
      <c r="J772" s="64">
        <v>366622.48</v>
      </c>
      <c r="M772" s="67" t="s">
        <v>222</v>
      </c>
      <c r="N772" s="67" t="s">
        <v>50</v>
      </c>
      <c r="O772" s="64">
        <v>366622.48</v>
      </c>
    </row>
    <row r="773" spans="1:15" ht="15.75" x14ac:dyDescent="0.25">
      <c r="A773" s="56">
        <v>16050</v>
      </c>
      <c r="C773" s="56">
        <v>43189.85</v>
      </c>
      <c r="G773" s="65">
        <v>43189.85</v>
      </c>
      <c r="J773" s="64">
        <v>300102.59999999998</v>
      </c>
      <c r="M773" s="67" t="s">
        <v>222</v>
      </c>
      <c r="N773" s="67" t="s">
        <v>50</v>
      </c>
      <c r="O773" s="64">
        <v>300102.59999999998</v>
      </c>
    </row>
    <row r="774" spans="1:15" ht="15.75" x14ac:dyDescent="0.25">
      <c r="A774" s="56">
        <v>12054.4</v>
      </c>
      <c r="C774" s="56">
        <v>35522.199999999997</v>
      </c>
      <c r="G774" s="65">
        <v>35522.199999999997</v>
      </c>
      <c r="J774" s="64">
        <v>1714872</v>
      </c>
      <c r="M774" s="67" t="s">
        <v>222</v>
      </c>
      <c r="N774" s="67" t="s">
        <v>50</v>
      </c>
      <c r="O774" s="64">
        <v>1714872</v>
      </c>
    </row>
    <row r="775" spans="1:15" ht="15.75" x14ac:dyDescent="0.25">
      <c r="A775" s="56">
        <v>28361.68</v>
      </c>
      <c r="C775" s="56">
        <v>15281</v>
      </c>
      <c r="G775" s="65">
        <v>15281</v>
      </c>
      <c r="J775" s="64">
        <v>41170.5</v>
      </c>
      <c r="M775" s="67" t="s">
        <v>222</v>
      </c>
      <c r="N775" s="67" t="s">
        <v>50</v>
      </c>
      <c r="O775" s="64">
        <v>41170.5</v>
      </c>
    </row>
    <row r="776" spans="1:15" ht="15.75" x14ac:dyDescent="0.25">
      <c r="A776" s="56">
        <v>8122.5</v>
      </c>
      <c r="C776" s="56">
        <v>1764.7</v>
      </c>
      <c r="G776" s="65">
        <v>1764.7</v>
      </c>
      <c r="J776" s="64">
        <v>31641.599999999999</v>
      </c>
      <c r="M776" s="67" t="s">
        <v>222</v>
      </c>
      <c r="N776" s="67" t="s">
        <v>50</v>
      </c>
      <c r="O776" s="64">
        <v>31641.599999999999</v>
      </c>
    </row>
    <row r="777" spans="1:15" ht="15.75" x14ac:dyDescent="0.25">
      <c r="A777" s="56">
        <v>32404.5</v>
      </c>
      <c r="C777" s="56">
        <v>2173.6</v>
      </c>
      <c r="G777" s="65">
        <v>2173.6</v>
      </c>
      <c r="J777" s="64">
        <v>6284.52</v>
      </c>
      <c r="M777" s="67" t="s">
        <v>222</v>
      </c>
      <c r="N777" s="67" t="s">
        <v>50</v>
      </c>
      <c r="O777" s="64">
        <v>6284.52</v>
      </c>
    </row>
    <row r="778" spans="1:15" ht="15.75" x14ac:dyDescent="0.25">
      <c r="A778" s="56">
        <v>17695.7</v>
      </c>
      <c r="C778" s="57"/>
      <c r="G778" s="64">
        <v>20314.48</v>
      </c>
      <c r="J778" s="64">
        <v>3599474.2</v>
      </c>
      <c r="M778" s="67" t="s">
        <v>39</v>
      </c>
      <c r="N778" s="67" t="s">
        <v>50</v>
      </c>
      <c r="O778" s="64">
        <v>3599474.2</v>
      </c>
    </row>
    <row r="779" spans="1:15" ht="15.75" x14ac:dyDescent="0.25">
      <c r="A779" s="56">
        <v>88029</v>
      </c>
      <c r="C779" s="57"/>
      <c r="G779" s="64">
        <v>32523.200000000001</v>
      </c>
      <c r="J779" s="64">
        <v>30242.799999999999</v>
      </c>
      <c r="M779" s="67" t="s">
        <v>39</v>
      </c>
      <c r="N779" s="67" t="s">
        <v>50</v>
      </c>
      <c r="O779" s="64">
        <v>30242.799999999999</v>
      </c>
    </row>
    <row r="780" spans="1:15" ht="15.75" x14ac:dyDescent="0.25">
      <c r="A780" s="56">
        <v>9738.4</v>
      </c>
      <c r="C780" s="56">
        <v>32523.200000000001</v>
      </c>
      <c r="G780" s="65">
        <v>32523.200000000001</v>
      </c>
      <c r="J780" s="64">
        <v>12363.75</v>
      </c>
      <c r="M780" s="67" t="s">
        <v>39</v>
      </c>
      <c r="N780" s="67" t="s">
        <v>50</v>
      </c>
      <c r="O780" s="64">
        <v>12363.75</v>
      </c>
    </row>
    <row r="781" spans="1:15" ht="15.75" x14ac:dyDescent="0.25">
      <c r="A781" s="56">
        <v>48586</v>
      </c>
      <c r="C781" s="56">
        <v>5218.2</v>
      </c>
      <c r="G781" s="65">
        <v>5218.2</v>
      </c>
      <c r="J781" s="64">
        <v>28159.200000000001</v>
      </c>
      <c r="M781" s="67" t="s">
        <v>39</v>
      </c>
      <c r="N781" s="67" t="s">
        <v>11</v>
      </c>
      <c r="O781" s="64">
        <v>28159.200000000001</v>
      </c>
    </row>
    <row r="782" spans="1:15" ht="15.75" x14ac:dyDescent="0.25">
      <c r="A782" s="56">
        <v>6100</v>
      </c>
      <c r="C782" s="57"/>
      <c r="G782" s="64">
        <v>76961.600000000006</v>
      </c>
      <c r="J782" s="64">
        <v>108099.2</v>
      </c>
      <c r="M782" s="67" t="s">
        <v>39</v>
      </c>
      <c r="N782" s="67" t="s">
        <v>50</v>
      </c>
      <c r="O782" s="64">
        <v>108099.2</v>
      </c>
    </row>
    <row r="783" spans="1:15" ht="15.75" x14ac:dyDescent="0.25">
      <c r="A783" s="56">
        <v>18513</v>
      </c>
      <c r="C783" s="56">
        <v>37766.32</v>
      </c>
      <c r="G783" s="65">
        <v>37766.32</v>
      </c>
      <c r="J783" s="64">
        <v>595872</v>
      </c>
      <c r="M783" s="67" t="s">
        <v>39</v>
      </c>
      <c r="N783" s="67" t="s">
        <v>50</v>
      </c>
      <c r="O783" s="64">
        <v>595872</v>
      </c>
    </row>
    <row r="784" spans="1:15" ht="15.75" x14ac:dyDescent="0.25">
      <c r="A784" s="56">
        <v>39278.699999999997</v>
      </c>
      <c r="C784" s="56">
        <v>394615.2</v>
      </c>
      <c r="G784" s="65">
        <v>394615.2</v>
      </c>
      <c r="J784" s="64">
        <v>3679218.8</v>
      </c>
      <c r="M784" s="67" t="s">
        <v>39</v>
      </c>
      <c r="N784" s="67" t="s">
        <v>50</v>
      </c>
      <c r="O784" s="64">
        <v>3679218.8</v>
      </c>
    </row>
    <row r="785" spans="1:15" x14ac:dyDescent="0.25">
      <c r="A785" s="58"/>
      <c r="C785" s="57"/>
      <c r="G785" s="64">
        <v>41653.199999999997</v>
      </c>
      <c r="J785" s="64">
        <v>100383.6</v>
      </c>
      <c r="M785" s="67" t="s">
        <v>39</v>
      </c>
      <c r="N785" s="67" t="s">
        <v>50</v>
      </c>
      <c r="O785" s="64">
        <v>100383.6</v>
      </c>
    </row>
    <row r="786" spans="1:15" ht="15.75" x14ac:dyDescent="0.25">
      <c r="A786" s="56">
        <v>280161.75</v>
      </c>
      <c r="C786" s="57"/>
      <c r="G786" s="64">
        <v>13424.02</v>
      </c>
      <c r="J786" s="64">
        <v>72724.5</v>
      </c>
      <c r="M786" s="67" t="s">
        <v>223</v>
      </c>
      <c r="N786" s="67" t="s">
        <v>50</v>
      </c>
      <c r="O786" s="64">
        <v>72724.5</v>
      </c>
    </row>
    <row r="787" spans="1:15" ht="15.75" x14ac:dyDescent="0.25">
      <c r="A787" s="56">
        <v>181968</v>
      </c>
      <c r="C787" s="56">
        <v>12748.8</v>
      </c>
      <c r="G787" s="65">
        <v>12748.8</v>
      </c>
      <c r="J787" s="64">
        <v>83338.5</v>
      </c>
      <c r="M787" s="67" t="s">
        <v>223</v>
      </c>
      <c r="N787" s="67" t="s">
        <v>50</v>
      </c>
      <c r="O787" s="64">
        <v>83338.5</v>
      </c>
    </row>
    <row r="788" spans="1:15" ht="15.75" x14ac:dyDescent="0.25">
      <c r="A788" s="56">
        <v>56062.400000000001</v>
      </c>
      <c r="C788" s="56">
        <v>9639</v>
      </c>
      <c r="G788" s="65">
        <v>9639</v>
      </c>
      <c r="J788" s="64">
        <v>43557.3</v>
      </c>
      <c r="M788" s="67" t="s">
        <v>223</v>
      </c>
      <c r="N788" s="67" t="s">
        <v>50</v>
      </c>
      <c r="O788" s="64">
        <v>43557.3</v>
      </c>
    </row>
    <row r="789" spans="1:15" ht="15.75" x14ac:dyDescent="0.25">
      <c r="A789" s="56">
        <v>1948</v>
      </c>
      <c r="C789" s="56">
        <v>35391.199999999997</v>
      </c>
      <c r="G789" s="65">
        <v>35391.199999999997</v>
      </c>
      <c r="J789" s="64">
        <v>8103.55</v>
      </c>
      <c r="M789" s="67" t="s">
        <v>223</v>
      </c>
      <c r="N789" s="67" t="s">
        <v>50</v>
      </c>
      <c r="O789" s="64">
        <v>8103.55</v>
      </c>
    </row>
    <row r="790" spans="1:15" x14ac:dyDescent="0.25">
      <c r="A790" s="58"/>
      <c r="C790" s="62"/>
      <c r="G790" s="66">
        <v>206485.75</v>
      </c>
      <c r="J790" s="64">
        <v>104985.2</v>
      </c>
      <c r="M790" s="67" t="s">
        <v>42</v>
      </c>
      <c r="N790" s="67" t="s">
        <v>11</v>
      </c>
      <c r="O790" s="64">
        <v>104985.2</v>
      </c>
    </row>
    <row r="791" spans="1:15" ht="15.75" x14ac:dyDescent="0.25">
      <c r="A791" s="56">
        <v>9162.75</v>
      </c>
      <c r="C791" s="57"/>
      <c r="G791" s="64">
        <v>136119.20000000001</v>
      </c>
      <c r="J791" s="64">
        <v>142612.5</v>
      </c>
      <c r="M791" s="67" t="s">
        <v>42</v>
      </c>
      <c r="N791" s="67" t="s">
        <v>50</v>
      </c>
      <c r="O791" s="64">
        <v>142612.5</v>
      </c>
    </row>
    <row r="792" spans="1:15" ht="15.75" x14ac:dyDescent="0.25">
      <c r="A792" s="56">
        <v>8726.4</v>
      </c>
      <c r="C792" s="57"/>
      <c r="G792" s="64">
        <v>1417454.32</v>
      </c>
      <c r="J792" s="64">
        <v>216883.20000000001</v>
      </c>
      <c r="M792" s="67" t="s">
        <v>42</v>
      </c>
      <c r="N792" s="67" t="s">
        <v>50</v>
      </c>
      <c r="O792" s="64">
        <v>216883.20000000001</v>
      </c>
    </row>
    <row r="793" spans="1:15" ht="15.75" x14ac:dyDescent="0.25">
      <c r="A793" s="56">
        <v>8824.7999999999993</v>
      </c>
      <c r="C793" s="56">
        <v>31551</v>
      </c>
      <c r="G793" s="65">
        <v>31551</v>
      </c>
      <c r="J793" s="64">
        <v>126841.60000000001</v>
      </c>
      <c r="M793" s="67" t="s">
        <v>42</v>
      </c>
      <c r="N793" s="67" t="s">
        <v>50</v>
      </c>
      <c r="O793" s="64">
        <v>126841.60000000001</v>
      </c>
    </row>
    <row r="794" spans="1:15" ht="15.75" x14ac:dyDescent="0.25">
      <c r="A794" s="56">
        <v>2883.3</v>
      </c>
      <c r="C794" s="56">
        <v>2181.9</v>
      </c>
      <c r="G794" s="65">
        <v>3117</v>
      </c>
      <c r="J794" s="64">
        <v>14855</v>
      </c>
      <c r="M794" s="67" t="s">
        <v>224</v>
      </c>
      <c r="N794" s="67" t="s">
        <v>11</v>
      </c>
      <c r="O794" s="64">
        <v>14855</v>
      </c>
    </row>
    <row r="795" spans="1:15" ht="15.75" x14ac:dyDescent="0.25">
      <c r="A795" s="16">
        <f>SUM(A1:A794)</f>
        <v>55543660.489999987</v>
      </c>
      <c r="C795" s="56">
        <v>10315.200000000001</v>
      </c>
      <c r="G795" s="65">
        <v>10315.200000000001</v>
      </c>
      <c r="J795" s="64">
        <v>38365.300000000003</v>
      </c>
      <c r="M795" s="67" t="s">
        <v>224</v>
      </c>
      <c r="N795" s="67" t="s">
        <v>11</v>
      </c>
      <c r="O795" s="64">
        <v>38365.300000000003</v>
      </c>
    </row>
    <row r="796" spans="1:15" ht="15.75" x14ac:dyDescent="0.25">
      <c r="C796" s="56">
        <v>135929.5</v>
      </c>
      <c r="G796" s="65">
        <v>135929.5</v>
      </c>
      <c r="J796" s="64">
        <v>10291.5</v>
      </c>
      <c r="M796" s="67" t="s">
        <v>224</v>
      </c>
      <c r="N796" s="67" t="s">
        <v>11</v>
      </c>
      <c r="O796" s="64">
        <v>10291.5</v>
      </c>
    </row>
    <row r="797" spans="1:15" ht="15.75" x14ac:dyDescent="0.25">
      <c r="C797" s="56">
        <v>27342</v>
      </c>
      <c r="G797" s="65">
        <v>27342</v>
      </c>
      <c r="J797" s="64">
        <v>38365.300000000003</v>
      </c>
      <c r="M797" s="67" t="s">
        <v>224</v>
      </c>
      <c r="N797" s="67" t="s">
        <v>11</v>
      </c>
      <c r="O797" s="64">
        <v>38365.300000000003</v>
      </c>
    </row>
    <row r="798" spans="1:15" ht="15.75" x14ac:dyDescent="0.25">
      <c r="C798" s="56">
        <v>1047258.1</v>
      </c>
      <c r="G798" s="65">
        <v>1047258.1</v>
      </c>
      <c r="J798" s="64">
        <v>37152.400000000001</v>
      </c>
      <c r="M798" s="67" t="s">
        <v>224</v>
      </c>
      <c r="N798" s="67" t="s">
        <v>11</v>
      </c>
      <c r="O798" s="64">
        <v>37152.400000000001</v>
      </c>
    </row>
    <row r="799" spans="1:15" x14ac:dyDescent="0.25">
      <c r="C799" s="57"/>
      <c r="G799" s="64">
        <v>12038.76</v>
      </c>
      <c r="J799" s="64">
        <v>102498</v>
      </c>
      <c r="M799" s="67" t="s">
        <v>224</v>
      </c>
      <c r="N799" s="67" t="s">
        <v>50</v>
      </c>
      <c r="O799" s="64">
        <v>102498</v>
      </c>
    </row>
    <row r="800" spans="1:15" x14ac:dyDescent="0.25">
      <c r="C800" s="57"/>
      <c r="G800" s="64">
        <v>4047952</v>
      </c>
      <c r="J800" s="64">
        <v>2162547.75</v>
      </c>
      <c r="M800" s="67" t="s">
        <v>224</v>
      </c>
      <c r="N800" s="67" t="s">
        <v>50</v>
      </c>
      <c r="O800" s="64">
        <v>2162547.75</v>
      </c>
    </row>
    <row r="801" spans="3:15" x14ac:dyDescent="0.25">
      <c r="C801" s="57"/>
      <c r="G801" s="64">
        <v>136119.20000000001</v>
      </c>
      <c r="J801" s="64">
        <v>18453.599999999999</v>
      </c>
      <c r="M801" s="67" t="s">
        <v>225</v>
      </c>
      <c r="N801" s="67" t="s">
        <v>50</v>
      </c>
      <c r="O801" s="64">
        <v>18453.599999999999</v>
      </c>
    </row>
    <row r="802" spans="3:15" ht="15.75" x14ac:dyDescent="0.25">
      <c r="C802" s="56">
        <v>3840.9</v>
      </c>
      <c r="G802" s="65">
        <v>3840.9</v>
      </c>
      <c r="J802" s="64">
        <v>143834</v>
      </c>
      <c r="M802" s="67" t="s">
        <v>44</v>
      </c>
      <c r="N802" s="67" t="s">
        <v>11</v>
      </c>
      <c r="O802" s="64">
        <v>143834</v>
      </c>
    </row>
    <row r="803" spans="3:15" ht="15.75" x14ac:dyDescent="0.25">
      <c r="C803" s="56">
        <v>52941</v>
      </c>
      <c r="G803" s="65">
        <v>52941</v>
      </c>
      <c r="J803" s="64">
        <v>351976.92</v>
      </c>
      <c r="M803" s="67" t="s">
        <v>226</v>
      </c>
      <c r="N803" s="67" t="s">
        <v>50</v>
      </c>
      <c r="O803" s="64">
        <v>351976.92</v>
      </c>
    </row>
    <row r="804" spans="3:15" x14ac:dyDescent="0.25">
      <c r="C804" s="57"/>
      <c r="G804" s="64">
        <v>99824</v>
      </c>
      <c r="J804" s="64">
        <v>20651</v>
      </c>
      <c r="M804" s="67" t="s">
        <v>226</v>
      </c>
      <c r="N804" s="67" t="s">
        <v>50</v>
      </c>
      <c r="O804" s="64">
        <v>20651</v>
      </c>
    </row>
    <row r="805" spans="3:15" ht="15.75" x14ac:dyDescent="0.25">
      <c r="C805" s="56">
        <v>33807.360000000001</v>
      </c>
      <c r="G805" s="65">
        <v>33807.360000000001</v>
      </c>
      <c r="J805" s="64">
        <v>14396</v>
      </c>
      <c r="M805" s="67" t="s">
        <v>226</v>
      </c>
      <c r="N805" s="67" t="s">
        <v>50</v>
      </c>
      <c r="O805" s="64">
        <v>14396</v>
      </c>
    </row>
    <row r="806" spans="3:15" ht="15.75" x14ac:dyDescent="0.25">
      <c r="C806" s="56">
        <v>248289</v>
      </c>
      <c r="G806" s="65">
        <v>248289</v>
      </c>
      <c r="J806" s="64">
        <v>541341.75</v>
      </c>
      <c r="M806" s="67" t="s">
        <v>226</v>
      </c>
      <c r="N806" s="67" t="s">
        <v>11</v>
      </c>
      <c r="O806" s="64">
        <v>541341.75</v>
      </c>
    </row>
    <row r="807" spans="3:15" ht="15.75" x14ac:dyDescent="0.25">
      <c r="C807" s="56">
        <v>683550</v>
      </c>
      <c r="G807" s="65">
        <v>911400</v>
      </c>
      <c r="J807" s="64">
        <v>209805.6</v>
      </c>
      <c r="M807" s="67" t="s">
        <v>227</v>
      </c>
      <c r="N807" s="67" t="s">
        <v>11</v>
      </c>
      <c r="O807" s="64">
        <v>209805.6</v>
      </c>
    </row>
    <row r="808" spans="3:15" x14ac:dyDescent="0.25">
      <c r="C808" s="57"/>
      <c r="G808" s="64">
        <v>12483.2</v>
      </c>
      <c r="J808" s="64">
        <v>727871</v>
      </c>
      <c r="M808" s="67" t="s">
        <v>227</v>
      </c>
      <c r="N808" s="67" t="s">
        <v>50</v>
      </c>
      <c r="O808" s="64">
        <v>727871</v>
      </c>
    </row>
    <row r="809" spans="3:15" ht="15.75" x14ac:dyDescent="0.25">
      <c r="C809" s="56">
        <v>76223</v>
      </c>
      <c r="G809" s="65">
        <v>76223</v>
      </c>
      <c r="J809" s="64">
        <v>167524.79999999999</v>
      </c>
      <c r="M809" s="67" t="s">
        <v>227</v>
      </c>
      <c r="N809" s="67" t="s">
        <v>50</v>
      </c>
      <c r="O809" s="64">
        <v>167524.79999999999</v>
      </c>
    </row>
    <row r="810" spans="3:15" ht="15.75" x14ac:dyDescent="0.25">
      <c r="C810" s="56">
        <v>83272</v>
      </c>
      <c r="G810" s="65">
        <v>83272</v>
      </c>
      <c r="J810" s="64">
        <v>406776.28</v>
      </c>
      <c r="M810" s="67" t="s">
        <v>228</v>
      </c>
      <c r="N810" s="67" t="s">
        <v>50</v>
      </c>
      <c r="O810" s="64">
        <v>406776.28</v>
      </c>
    </row>
    <row r="811" spans="3:15" ht="15.75" x14ac:dyDescent="0.25">
      <c r="C811" s="56">
        <v>10814.3</v>
      </c>
      <c r="G811" s="65">
        <v>10814.3</v>
      </c>
      <c r="J811" s="64">
        <v>237432.6</v>
      </c>
      <c r="M811" s="67" t="s">
        <v>228</v>
      </c>
      <c r="N811" s="67" t="s">
        <v>50</v>
      </c>
      <c r="O811" s="64">
        <v>237432.6</v>
      </c>
    </row>
    <row r="812" spans="3:15" ht="15.75" x14ac:dyDescent="0.25">
      <c r="C812" s="56">
        <v>48825</v>
      </c>
      <c r="G812" s="65">
        <v>48825</v>
      </c>
      <c r="J812" s="64">
        <v>75922</v>
      </c>
      <c r="M812" s="67" t="s">
        <v>228</v>
      </c>
      <c r="N812" s="67" t="s">
        <v>11</v>
      </c>
      <c r="O812" s="64">
        <v>75922</v>
      </c>
    </row>
    <row r="813" spans="3:15" x14ac:dyDescent="0.25">
      <c r="C813" s="57"/>
      <c r="G813" s="64">
        <v>62216</v>
      </c>
      <c r="J813" s="64">
        <v>646605.64</v>
      </c>
      <c r="M813" s="67" t="s">
        <v>228</v>
      </c>
      <c r="N813" s="67" t="s">
        <v>50</v>
      </c>
      <c r="O813" s="64">
        <v>646605.64</v>
      </c>
    </row>
    <row r="814" spans="3:15" ht="15.75" x14ac:dyDescent="0.25">
      <c r="C814" s="56">
        <v>244249.4</v>
      </c>
      <c r="G814" s="65">
        <v>264767.8</v>
      </c>
      <c r="J814" s="64">
        <v>6601438</v>
      </c>
      <c r="M814" s="67" t="s">
        <v>229</v>
      </c>
      <c r="N814" s="67" t="s">
        <v>50</v>
      </c>
      <c r="O814" s="64">
        <v>6601438</v>
      </c>
    </row>
    <row r="815" spans="3:15" x14ac:dyDescent="0.25">
      <c r="C815" s="57"/>
      <c r="G815" s="64">
        <v>738168.5</v>
      </c>
      <c r="J815" s="64">
        <v>588751.68000000005</v>
      </c>
      <c r="M815" s="67" t="s">
        <v>229</v>
      </c>
      <c r="N815" s="67" t="s">
        <v>50</v>
      </c>
      <c r="O815" s="64">
        <v>588751.68000000005</v>
      </c>
    </row>
    <row r="816" spans="3:15" ht="15.75" x14ac:dyDescent="0.25">
      <c r="C816" s="56">
        <v>136710</v>
      </c>
      <c r="G816" s="65">
        <v>136710</v>
      </c>
      <c r="J816" s="64">
        <v>138551.48000000001</v>
      </c>
      <c r="M816" s="67" t="s">
        <v>229</v>
      </c>
      <c r="N816" s="67" t="s">
        <v>50</v>
      </c>
      <c r="O816" s="64">
        <v>138551.48000000001</v>
      </c>
    </row>
    <row r="817" spans="3:15" ht="15.75" x14ac:dyDescent="0.25">
      <c r="C817" s="56">
        <v>75243</v>
      </c>
      <c r="G817" s="65">
        <v>75243</v>
      </c>
      <c r="J817" s="64">
        <v>11516.8</v>
      </c>
      <c r="M817" s="67" t="s">
        <v>229</v>
      </c>
      <c r="N817" s="67" t="s">
        <v>50</v>
      </c>
      <c r="O817" s="64">
        <v>11516.8</v>
      </c>
    </row>
    <row r="818" spans="3:15" ht="15.75" x14ac:dyDescent="0.25">
      <c r="C818" s="56">
        <v>663588.1</v>
      </c>
      <c r="G818" s="65">
        <v>904668.1</v>
      </c>
      <c r="J818" s="64">
        <v>473122</v>
      </c>
      <c r="M818" s="67" t="s">
        <v>230</v>
      </c>
      <c r="N818" s="67" t="s">
        <v>50</v>
      </c>
      <c r="O818" s="64">
        <v>473122</v>
      </c>
    </row>
    <row r="819" spans="3:15" ht="15.75" x14ac:dyDescent="0.25">
      <c r="C819" s="56">
        <v>203756</v>
      </c>
      <c r="G819" s="65">
        <v>203756</v>
      </c>
      <c r="J819" s="64">
        <v>7411.2</v>
      </c>
      <c r="M819" s="67" t="s">
        <v>230</v>
      </c>
      <c r="N819" s="67" t="s">
        <v>50</v>
      </c>
      <c r="O819" s="64">
        <v>7411.2</v>
      </c>
    </row>
    <row r="820" spans="3:15" x14ac:dyDescent="0.25">
      <c r="C820" s="57"/>
      <c r="G820" s="64">
        <v>10965</v>
      </c>
      <c r="J820" s="64">
        <v>588751.68000000005</v>
      </c>
      <c r="M820" s="67" t="s">
        <v>230</v>
      </c>
      <c r="N820" s="67" t="s">
        <v>50</v>
      </c>
      <c r="O820" s="64">
        <v>588751.68000000005</v>
      </c>
    </row>
    <row r="821" spans="3:15" x14ac:dyDescent="0.25">
      <c r="C821" s="57"/>
      <c r="G821" s="64">
        <v>48653.46</v>
      </c>
      <c r="J821" s="64">
        <v>289678</v>
      </c>
      <c r="M821" s="67" t="s">
        <v>230</v>
      </c>
      <c r="N821" s="67" t="s">
        <v>50</v>
      </c>
      <c r="O821" s="64">
        <v>289678</v>
      </c>
    </row>
    <row r="822" spans="3:15" x14ac:dyDescent="0.25">
      <c r="C822" s="57"/>
      <c r="G822" s="64">
        <v>7062.75</v>
      </c>
      <c r="J822" s="64">
        <v>770335.6</v>
      </c>
      <c r="M822" s="67" t="s">
        <v>230</v>
      </c>
      <c r="N822" s="67" t="s">
        <v>50</v>
      </c>
      <c r="O822" s="64">
        <v>770335.6</v>
      </c>
    </row>
    <row r="823" spans="3:15" x14ac:dyDescent="0.25">
      <c r="C823" s="57"/>
      <c r="G823" s="64">
        <v>206450.8</v>
      </c>
      <c r="J823" s="64">
        <v>51228.9</v>
      </c>
      <c r="M823" s="67" t="s">
        <v>230</v>
      </c>
      <c r="N823" s="67" t="s">
        <v>50</v>
      </c>
      <c r="O823" s="64">
        <v>51228.9</v>
      </c>
    </row>
    <row r="824" spans="3:15" x14ac:dyDescent="0.25">
      <c r="C824" s="57"/>
      <c r="G824" s="64">
        <v>64480.5</v>
      </c>
      <c r="J824" s="64">
        <v>751950</v>
      </c>
      <c r="M824" s="67" t="s">
        <v>230</v>
      </c>
      <c r="N824" s="67" t="s">
        <v>50</v>
      </c>
      <c r="O824" s="64">
        <v>751950</v>
      </c>
    </row>
    <row r="825" spans="3:15" ht="15.75" x14ac:dyDescent="0.25">
      <c r="C825" s="56">
        <v>6076.2</v>
      </c>
      <c r="G825" s="65">
        <v>6076.2</v>
      </c>
      <c r="J825" s="64">
        <v>907744</v>
      </c>
      <c r="M825" s="67" t="s">
        <v>231</v>
      </c>
      <c r="N825" s="67" t="s">
        <v>50</v>
      </c>
      <c r="O825" s="64">
        <v>907744</v>
      </c>
    </row>
    <row r="826" spans="3:15" ht="15.75" x14ac:dyDescent="0.25">
      <c r="C826" s="56">
        <v>18826.5</v>
      </c>
      <c r="G826" s="65">
        <v>18826.5</v>
      </c>
      <c r="J826" s="64">
        <v>215559</v>
      </c>
      <c r="M826" s="67" t="s">
        <v>231</v>
      </c>
      <c r="N826" s="67" t="s">
        <v>50</v>
      </c>
      <c r="O826" s="64">
        <v>215559</v>
      </c>
    </row>
    <row r="827" spans="3:15" x14ac:dyDescent="0.25">
      <c r="C827" s="57"/>
      <c r="G827" s="64">
        <v>44830.82</v>
      </c>
      <c r="J827" s="64">
        <v>11559.2</v>
      </c>
      <c r="M827" s="67" t="s">
        <v>231</v>
      </c>
      <c r="N827" s="67" t="s">
        <v>50</v>
      </c>
      <c r="O827" s="64">
        <v>11559.2</v>
      </c>
    </row>
    <row r="828" spans="3:15" ht="15.75" x14ac:dyDescent="0.25">
      <c r="C828" s="56">
        <v>442392.5</v>
      </c>
      <c r="G828" s="65">
        <v>442392.5</v>
      </c>
      <c r="J828" s="64">
        <v>256379</v>
      </c>
      <c r="M828" s="67" t="s">
        <v>232</v>
      </c>
      <c r="N828" s="67" t="s">
        <v>50</v>
      </c>
      <c r="O828" s="64">
        <v>256379</v>
      </c>
    </row>
    <row r="829" spans="3:15" ht="15.75" x14ac:dyDescent="0.25">
      <c r="C829" s="56">
        <v>1659</v>
      </c>
      <c r="G829" s="65">
        <v>1659</v>
      </c>
      <c r="J829" s="64">
        <v>17795.599999999999</v>
      </c>
      <c r="M829" s="67" t="s">
        <v>232</v>
      </c>
      <c r="N829" s="67" t="s">
        <v>50</v>
      </c>
      <c r="O829" s="64">
        <v>17795.599999999999</v>
      </c>
    </row>
    <row r="830" spans="3:15" ht="15.75" x14ac:dyDescent="0.25">
      <c r="C830" s="56">
        <v>4246.2</v>
      </c>
      <c r="G830" s="65">
        <v>4246.2</v>
      </c>
      <c r="J830" s="64">
        <v>457397</v>
      </c>
      <c r="M830" s="67" t="s">
        <v>232</v>
      </c>
      <c r="N830" s="67" t="s">
        <v>50</v>
      </c>
      <c r="O830" s="64">
        <v>457397</v>
      </c>
    </row>
    <row r="831" spans="3:15" ht="15.75" x14ac:dyDescent="0.25">
      <c r="C831" s="56">
        <v>62994.75</v>
      </c>
      <c r="G831" s="65">
        <v>62994.75</v>
      </c>
      <c r="J831" s="64">
        <v>28535.25</v>
      </c>
      <c r="M831" s="67" t="s">
        <v>232</v>
      </c>
      <c r="N831" s="67" t="s">
        <v>50</v>
      </c>
      <c r="O831" s="64">
        <v>28535.25</v>
      </c>
    </row>
    <row r="832" spans="3:15" ht="15.75" x14ac:dyDescent="0.25">
      <c r="C832" s="56">
        <v>45570</v>
      </c>
      <c r="G832" s="65">
        <v>45570</v>
      </c>
      <c r="J832" s="64">
        <v>118404.8</v>
      </c>
      <c r="M832" s="67" t="s">
        <v>232</v>
      </c>
      <c r="N832" s="67" t="s">
        <v>50</v>
      </c>
      <c r="O832" s="64">
        <v>118404.8</v>
      </c>
    </row>
    <row r="833" spans="3:15" ht="15.75" x14ac:dyDescent="0.25">
      <c r="C833" s="56">
        <v>42910</v>
      </c>
      <c r="G833" s="65">
        <v>42910</v>
      </c>
      <c r="J833" s="64">
        <v>530994.36</v>
      </c>
      <c r="M833" s="67" t="s">
        <v>233</v>
      </c>
      <c r="N833" s="67" t="s">
        <v>50</v>
      </c>
      <c r="O833" s="64">
        <v>530994.36</v>
      </c>
    </row>
    <row r="834" spans="3:15" ht="15.75" x14ac:dyDescent="0.25">
      <c r="C834" s="56">
        <v>2502.3000000000002</v>
      </c>
      <c r="G834" s="65">
        <v>2502.3000000000002</v>
      </c>
      <c r="J834" s="64">
        <v>33814.800000000003</v>
      </c>
      <c r="M834" s="67" t="s">
        <v>233</v>
      </c>
      <c r="N834" s="67" t="s">
        <v>11</v>
      </c>
      <c r="O834" s="64">
        <v>33814.800000000003</v>
      </c>
    </row>
    <row r="835" spans="3:15" ht="15.75" x14ac:dyDescent="0.25">
      <c r="C835" s="56">
        <v>13274.5</v>
      </c>
      <c r="G835" s="65">
        <v>13274.5</v>
      </c>
      <c r="J835" s="64">
        <v>37733.199999999997</v>
      </c>
      <c r="M835" s="67" t="s">
        <v>233</v>
      </c>
      <c r="N835" s="67" t="s">
        <v>11</v>
      </c>
      <c r="O835" s="64">
        <v>37733.199999999997</v>
      </c>
    </row>
    <row r="836" spans="3:15" ht="15.75" x14ac:dyDescent="0.25">
      <c r="C836" s="56">
        <v>19906.98</v>
      </c>
      <c r="G836" s="65">
        <v>19906.98</v>
      </c>
      <c r="J836" s="64">
        <v>669461.19999999995</v>
      </c>
      <c r="M836" s="67" t="s">
        <v>233</v>
      </c>
      <c r="N836" s="67" t="s">
        <v>50</v>
      </c>
      <c r="O836" s="64">
        <v>669461.19999999995</v>
      </c>
    </row>
    <row r="837" spans="3:15" ht="15.75" x14ac:dyDescent="0.25">
      <c r="C837" s="56">
        <v>4363.8</v>
      </c>
      <c r="G837" s="65">
        <v>4363.8</v>
      </c>
      <c r="J837" s="64">
        <v>1125576</v>
      </c>
      <c r="M837" s="67" t="s">
        <v>233</v>
      </c>
      <c r="N837" s="67" t="s">
        <v>50</v>
      </c>
      <c r="O837" s="64">
        <v>1125576</v>
      </c>
    </row>
    <row r="838" spans="3:15" x14ac:dyDescent="0.25">
      <c r="C838" s="57"/>
      <c r="G838" s="64">
        <v>55160.75</v>
      </c>
      <c r="J838" s="64">
        <v>18551.599999999999</v>
      </c>
      <c r="M838" s="67" t="s">
        <v>233</v>
      </c>
      <c r="N838" s="67" t="s">
        <v>50</v>
      </c>
      <c r="O838" s="64">
        <v>18551.599999999999</v>
      </c>
    </row>
    <row r="839" spans="3:15" ht="15.75" x14ac:dyDescent="0.25">
      <c r="C839" s="56">
        <v>128044.95</v>
      </c>
      <c r="G839" s="65">
        <v>128044.95</v>
      </c>
      <c r="J839" s="64">
        <v>27394.080000000002</v>
      </c>
      <c r="M839" s="67" t="s">
        <v>234</v>
      </c>
      <c r="N839" s="67" t="s">
        <v>50</v>
      </c>
      <c r="O839" s="64">
        <v>27394.080000000002</v>
      </c>
    </row>
    <row r="840" spans="3:15" x14ac:dyDescent="0.25">
      <c r="C840" s="57"/>
      <c r="G840" s="64">
        <v>306934</v>
      </c>
      <c r="J840" s="64">
        <v>2055754.5</v>
      </c>
      <c r="M840" s="67" t="s">
        <v>234</v>
      </c>
      <c r="N840" s="67" t="s">
        <v>11</v>
      </c>
      <c r="O840" s="64">
        <v>2055754.5</v>
      </c>
    </row>
    <row r="841" spans="3:15" ht="15.75" x14ac:dyDescent="0.25">
      <c r="C841" s="56">
        <v>14715.3</v>
      </c>
      <c r="G841" s="65">
        <v>14706.3</v>
      </c>
      <c r="J841" s="64">
        <v>494960</v>
      </c>
      <c r="M841" s="67" t="s">
        <v>234</v>
      </c>
      <c r="N841" s="67" t="s">
        <v>50</v>
      </c>
      <c r="O841" s="64">
        <v>494960</v>
      </c>
    </row>
    <row r="842" spans="3:15" ht="15.75" x14ac:dyDescent="0.25">
      <c r="C842" s="56">
        <v>18826.5</v>
      </c>
      <c r="G842" s="65">
        <v>18826.5</v>
      </c>
      <c r="J842" s="64">
        <v>134957.25</v>
      </c>
      <c r="M842" s="67" t="s">
        <v>234</v>
      </c>
      <c r="N842" s="67" t="s">
        <v>50</v>
      </c>
      <c r="O842" s="64">
        <v>134957.25</v>
      </c>
    </row>
    <row r="843" spans="3:15" x14ac:dyDescent="0.25">
      <c r="C843" s="57"/>
      <c r="G843" s="64">
        <v>82683.75</v>
      </c>
      <c r="J843" s="64">
        <v>52252.4</v>
      </c>
      <c r="M843" s="67" t="s">
        <v>234</v>
      </c>
      <c r="N843" s="67" t="s">
        <v>50</v>
      </c>
      <c r="O843" s="64">
        <v>52252.4</v>
      </c>
    </row>
    <row r="844" spans="3:15" ht="15.75" x14ac:dyDescent="0.25">
      <c r="C844" s="56">
        <v>83060.7</v>
      </c>
      <c r="G844" s="65">
        <v>110954.6</v>
      </c>
      <c r="J844" s="64">
        <v>564651.9</v>
      </c>
      <c r="M844" s="67" t="s">
        <v>235</v>
      </c>
      <c r="N844" s="67" t="s">
        <v>50</v>
      </c>
      <c r="O844" s="64">
        <v>564651.9</v>
      </c>
    </row>
    <row r="845" spans="3:15" x14ac:dyDescent="0.25">
      <c r="C845" s="57"/>
      <c r="G845" s="64">
        <v>35815.599999999999</v>
      </c>
      <c r="J845" s="64">
        <v>529868</v>
      </c>
      <c r="M845" s="67" t="s">
        <v>235</v>
      </c>
      <c r="N845" s="67" t="s">
        <v>50</v>
      </c>
      <c r="O845" s="64">
        <v>529868</v>
      </c>
    </row>
    <row r="846" spans="3:15" ht="15.75" x14ac:dyDescent="0.25">
      <c r="C846" s="56">
        <v>63680</v>
      </c>
      <c r="G846" s="65">
        <v>63680</v>
      </c>
      <c r="J846" s="64">
        <v>81307.199999999997</v>
      </c>
      <c r="M846" s="67" t="s">
        <v>235</v>
      </c>
      <c r="N846" s="67" t="s">
        <v>50</v>
      </c>
      <c r="O846" s="64">
        <v>81307.199999999997</v>
      </c>
    </row>
    <row r="847" spans="3:15" ht="15.75" x14ac:dyDescent="0.25">
      <c r="C847" s="56">
        <v>93642.5</v>
      </c>
      <c r="G847" s="65">
        <v>93642.5</v>
      </c>
      <c r="J847" s="64">
        <v>112000</v>
      </c>
      <c r="M847" s="67" t="s">
        <v>235</v>
      </c>
      <c r="N847" s="67" t="s">
        <v>50</v>
      </c>
      <c r="O847" s="64">
        <v>112000</v>
      </c>
    </row>
    <row r="848" spans="3:15" ht="15.75" x14ac:dyDescent="0.25">
      <c r="C848" s="56">
        <v>2891.7</v>
      </c>
      <c r="G848" s="65">
        <v>2891.7</v>
      </c>
      <c r="J848" s="64">
        <v>52512</v>
      </c>
      <c r="M848" s="67" t="s">
        <v>235</v>
      </c>
      <c r="N848" s="67" t="s">
        <v>50</v>
      </c>
      <c r="O848" s="64">
        <v>52512</v>
      </c>
    </row>
    <row r="849" spans="3:15" ht="15.75" x14ac:dyDescent="0.25">
      <c r="C849" s="56">
        <v>12873</v>
      </c>
      <c r="G849" s="65">
        <v>12873</v>
      </c>
      <c r="J849" s="64">
        <v>85693.5</v>
      </c>
      <c r="M849" s="67" t="s">
        <v>236</v>
      </c>
      <c r="N849" s="67" t="s">
        <v>50</v>
      </c>
      <c r="O849" s="64">
        <v>85693.5</v>
      </c>
    </row>
    <row r="850" spans="3:15" ht="15.75" x14ac:dyDescent="0.25">
      <c r="C850" s="56">
        <v>72268</v>
      </c>
      <c r="G850" s="65">
        <v>72268</v>
      </c>
      <c r="J850" s="64">
        <v>17426.7</v>
      </c>
      <c r="M850" s="67" t="s">
        <v>236</v>
      </c>
      <c r="N850" s="67" t="s">
        <v>50</v>
      </c>
      <c r="O850" s="64">
        <v>17426.7</v>
      </c>
    </row>
    <row r="851" spans="3:15" ht="15.75" x14ac:dyDescent="0.25">
      <c r="C851" s="56">
        <v>155921.20000000001</v>
      </c>
      <c r="G851" s="65">
        <v>733880</v>
      </c>
      <c r="J851" s="64">
        <v>6535.4</v>
      </c>
      <c r="M851" s="67" t="s">
        <v>236</v>
      </c>
      <c r="N851" s="67" t="s">
        <v>50</v>
      </c>
      <c r="O851" s="64">
        <v>6535.4</v>
      </c>
    </row>
    <row r="852" spans="3:15" x14ac:dyDescent="0.25">
      <c r="C852" s="57"/>
      <c r="G852" s="64">
        <v>80656.2</v>
      </c>
      <c r="J852" s="64">
        <v>121267.9</v>
      </c>
      <c r="M852" s="67" t="s">
        <v>236</v>
      </c>
      <c r="N852" s="67" t="s">
        <v>11</v>
      </c>
      <c r="O852" s="64">
        <v>121267.9</v>
      </c>
    </row>
    <row r="853" spans="3:15" ht="15.75" x14ac:dyDescent="0.25">
      <c r="C853" s="56">
        <v>255472</v>
      </c>
      <c r="G853" s="65">
        <v>264586</v>
      </c>
      <c r="J853" s="64">
        <v>65442.080000000002</v>
      </c>
      <c r="M853" s="67" t="s">
        <v>236</v>
      </c>
      <c r="N853" s="67" t="s">
        <v>50</v>
      </c>
      <c r="O853" s="64">
        <v>65442.080000000002</v>
      </c>
    </row>
    <row r="854" spans="3:15" ht="15.75" x14ac:dyDescent="0.25">
      <c r="C854" s="56">
        <v>16094.28</v>
      </c>
      <c r="G854" s="65">
        <v>16094.28</v>
      </c>
      <c r="J854" s="64">
        <v>405279.6</v>
      </c>
      <c r="M854" s="67" t="s">
        <v>236</v>
      </c>
      <c r="N854" s="67" t="s">
        <v>50</v>
      </c>
      <c r="O854" s="64">
        <v>405279.6</v>
      </c>
    </row>
    <row r="855" spans="3:15" x14ac:dyDescent="0.25">
      <c r="C855" s="57"/>
      <c r="G855" s="64">
        <v>918230.9</v>
      </c>
      <c r="J855" s="64">
        <v>24410</v>
      </c>
      <c r="M855" s="67" t="s">
        <v>236</v>
      </c>
      <c r="N855" s="67" t="s">
        <v>11</v>
      </c>
      <c r="O855" s="64">
        <v>24410</v>
      </c>
    </row>
    <row r="856" spans="3:15" x14ac:dyDescent="0.25">
      <c r="C856" s="57"/>
      <c r="G856" s="64">
        <v>121243.5</v>
      </c>
      <c r="J856" s="64">
        <v>53300</v>
      </c>
      <c r="M856" s="67" t="s">
        <v>236</v>
      </c>
      <c r="N856" s="67" t="s">
        <v>50</v>
      </c>
      <c r="O856" s="64">
        <v>53300</v>
      </c>
    </row>
    <row r="857" spans="3:15" ht="15.75" x14ac:dyDescent="0.25">
      <c r="C857" s="56">
        <v>62928.72</v>
      </c>
      <c r="G857" s="65">
        <v>62928.72</v>
      </c>
      <c r="J857" s="64">
        <v>864952.45</v>
      </c>
      <c r="M857" s="67" t="s">
        <v>237</v>
      </c>
      <c r="N857" s="67" t="s">
        <v>50</v>
      </c>
      <c r="O857" s="64">
        <v>864952.45</v>
      </c>
    </row>
    <row r="858" spans="3:15" ht="15.75" x14ac:dyDescent="0.25">
      <c r="C858" s="56">
        <v>132837.6</v>
      </c>
      <c r="G858" s="65">
        <v>135292.79999999999</v>
      </c>
      <c r="J858" s="64">
        <v>2574.75</v>
      </c>
      <c r="M858" s="67" t="s">
        <v>237</v>
      </c>
      <c r="N858" s="67" t="s">
        <v>50</v>
      </c>
      <c r="O858" s="64">
        <v>2574.75</v>
      </c>
    </row>
    <row r="859" spans="3:15" ht="15.75" x14ac:dyDescent="0.25">
      <c r="C859" s="56">
        <v>52395</v>
      </c>
      <c r="G859" s="65">
        <v>52395</v>
      </c>
      <c r="J859" s="64">
        <v>548521</v>
      </c>
      <c r="M859" s="67" t="s">
        <v>237</v>
      </c>
      <c r="N859" s="67" t="s">
        <v>50</v>
      </c>
      <c r="O859" s="64">
        <v>548521</v>
      </c>
    </row>
    <row r="860" spans="3:15" x14ac:dyDescent="0.25">
      <c r="C860" s="57"/>
      <c r="G860" s="64">
        <v>79793.350000000006</v>
      </c>
      <c r="J860" s="64">
        <v>64102</v>
      </c>
      <c r="M860" s="67" t="s">
        <v>237</v>
      </c>
      <c r="N860" s="67" t="s">
        <v>50</v>
      </c>
      <c r="O860" s="64">
        <v>64102</v>
      </c>
    </row>
    <row r="861" spans="3:15" x14ac:dyDescent="0.25">
      <c r="C861" s="57"/>
      <c r="G861" s="64">
        <v>20680.2</v>
      </c>
      <c r="J861" s="64">
        <v>48365.1</v>
      </c>
      <c r="M861" s="67" t="s">
        <v>237</v>
      </c>
      <c r="N861" s="67" t="s">
        <v>50</v>
      </c>
      <c r="O861" s="64">
        <v>48365.1</v>
      </c>
    </row>
    <row r="862" spans="3:15" ht="15.75" x14ac:dyDescent="0.25">
      <c r="C862" s="56">
        <v>29565.200000000001</v>
      </c>
      <c r="G862" s="65">
        <v>29565.200000000001</v>
      </c>
      <c r="J862" s="64">
        <v>5040.6000000000004</v>
      </c>
      <c r="M862" s="67" t="s">
        <v>237</v>
      </c>
      <c r="N862" s="67" t="s">
        <v>50</v>
      </c>
      <c r="O862" s="64">
        <v>5040.6000000000004</v>
      </c>
    </row>
    <row r="863" spans="3:15" x14ac:dyDescent="0.25">
      <c r="C863" s="57"/>
      <c r="G863" s="64">
        <v>294866.32</v>
      </c>
      <c r="J863" s="64">
        <v>2588578.6</v>
      </c>
      <c r="M863" s="67" t="s">
        <v>237</v>
      </c>
      <c r="N863" s="67" t="s">
        <v>50</v>
      </c>
      <c r="O863" s="64">
        <v>2588578.6</v>
      </c>
    </row>
    <row r="864" spans="3:15" x14ac:dyDescent="0.25">
      <c r="C864" s="57"/>
      <c r="G864" s="64">
        <v>28921.5</v>
      </c>
      <c r="J864" s="64">
        <v>704696</v>
      </c>
      <c r="M864" s="67" t="s">
        <v>237</v>
      </c>
      <c r="N864" s="67" t="s">
        <v>11</v>
      </c>
      <c r="O864" s="64">
        <v>704696</v>
      </c>
    </row>
    <row r="865" spans="3:15" x14ac:dyDescent="0.25">
      <c r="C865" s="57"/>
      <c r="G865" s="64">
        <v>5755.26</v>
      </c>
      <c r="J865" s="64">
        <v>30781.4</v>
      </c>
      <c r="M865" s="67" t="s">
        <v>237</v>
      </c>
      <c r="N865" s="67" t="s">
        <v>50</v>
      </c>
      <c r="O865" s="64">
        <v>30781.4</v>
      </c>
    </row>
    <row r="866" spans="3:15" ht="15.75" x14ac:dyDescent="0.25">
      <c r="C866" s="56">
        <v>11844.6</v>
      </c>
      <c r="G866" s="65">
        <v>11844.6</v>
      </c>
      <c r="J866" s="64">
        <v>4104</v>
      </c>
      <c r="M866" s="67" t="s">
        <v>237</v>
      </c>
      <c r="N866" s="67" t="s">
        <v>50</v>
      </c>
      <c r="O866" s="64">
        <v>4104</v>
      </c>
    </row>
    <row r="867" spans="3:15" ht="15.75" x14ac:dyDescent="0.25">
      <c r="C867" s="56">
        <v>35533.800000000003</v>
      </c>
      <c r="G867" s="65">
        <v>35533.800000000003</v>
      </c>
      <c r="J867" s="64">
        <v>174483.4</v>
      </c>
      <c r="M867" s="67" t="s">
        <v>237</v>
      </c>
      <c r="N867" s="67" t="s">
        <v>50</v>
      </c>
      <c r="O867" s="64">
        <v>174483.4</v>
      </c>
    </row>
    <row r="868" spans="3:15" x14ac:dyDescent="0.25">
      <c r="C868" s="57"/>
      <c r="G868" s="64">
        <v>25047</v>
      </c>
      <c r="J868" s="64">
        <v>60410.25</v>
      </c>
      <c r="M868" s="67" t="s">
        <v>237</v>
      </c>
      <c r="N868" s="67" t="s">
        <v>50</v>
      </c>
      <c r="O868" s="64">
        <v>60410.25</v>
      </c>
    </row>
    <row r="869" spans="3:15" x14ac:dyDescent="0.25">
      <c r="C869" s="57"/>
      <c r="G869" s="64">
        <v>44058</v>
      </c>
      <c r="J869" s="64">
        <v>206586</v>
      </c>
      <c r="M869" s="67" t="s">
        <v>237</v>
      </c>
      <c r="N869" s="67" t="s">
        <v>50</v>
      </c>
      <c r="O869" s="64">
        <v>206586</v>
      </c>
    </row>
    <row r="870" spans="3:15" ht="15.75" x14ac:dyDescent="0.25">
      <c r="C870" s="56">
        <v>52941</v>
      </c>
      <c r="G870" s="65">
        <v>52941</v>
      </c>
      <c r="J870" s="64">
        <v>113216.6</v>
      </c>
      <c r="M870" s="67" t="s">
        <v>238</v>
      </c>
      <c r="N870" s="67" t="s">
        <v>50</v>
      </c>
      <c r="O870" s="64">
        <v>113216.6</v>
      </c>
    </row>
    <row r="871" spans="3:15" x14ac:dyDescent="0.25">
      <c r="C871" s="57"/>
      <c r="G871" s="64">
        <v>68229</v>
      </c>
      <c r="J871" s="64">
        <v>2680.8</v>
      </c>
      <c r="M871" s="67" t="s">
        <v>238</v>
      </c>
      <c r="N871" s="67" t="s">
        <v>11</v>
      </c>
      <c r="O871" s="64">
        <v>2680.8</v>
      </c>
    </row>
    <row r="872" spans="3:15" ht="15.75" x14ac:dyDescent="0.25">
      <c r="C872" s="56">
        <v>67189.5</v>
      </c>
      <c r="G872" s="65">
        <v>67189.5</v>
      </c>
      <c r="J872" s="64">
        <v>287979</v>
      </c>
      <c r="M872" s="67" t="s">
        <v>238</v>
      </c>
      <c r="N872" s="67" t="s">
        <v>50</v>
      </c>
      <c r="O872" s="64">
        <v>287979</v>
      </c>
    </row>
    <row r="873" spans="3:15" ht="15.75" x14ac:dyDescent="0.25">
      <c r="C873" s="56">
        <v>114516.56</v>
      </c>
      <c r="G873" s="65">
        <v>114516.56</v>
      </c>
      <c r="J873" s="64">
        <v>83082.399999999994</v>
      </c>
      <c r="M873" s="67" t="s">
        <v>238</v>
      </c>
      <c r="N873" s="67" t="s">
        <v>50</v>
      </c>
      <c r="O873" s="64">
        <v>83082.399999999994</v>
      </c>
    </row>
    <row r="874" spans="3:15" x14ac:dyDescent="0.25">
      <c r="C874" s="57"/>
      <c r="G874" s="64">
        <v>448294.83</v>
      </c>
      <c r="J874" s="64">
        <v>56044.5</v>
      </c>
      <c r="M874" s="67" t="s">
        <v>239</v>
      </c>
      <c r="N874" s="67" t="s">
        <v>50</v>
      </c>
      <c r="O874" s="64">
        <v>56044.5</v>
      </c>
    </row>
    <row r="875" spans="3:15" ht="15.75" x14ac:dyDescent="0.25">
      <c r="C875" s="56">
        <v>7796.4</v>
      </c>
      <c r="G875" s="65">
        <v>7796.4</v>
      </c>
      <c r="J875" s="64">
        <v>95516.2</v>
      </c>
      <c r="M875" s="67" t="s">
        <v>239</v>
      </c>
      <c r="N875" s="67" t="s">
        <v>50</v>
      </c>
      <c r="O875" s="64">
        <v>95516.2</v>
      </c>
    </row>
    <row r="876" spans="3:15" ht="15.75" x14ac:dyDescent="0.25">
      <c r="C876" s="56">
        <v>102289.60000000001</v>
      </c>
      <c r="G876" s="65">
        <v>102289.60000000001</v>
      </c>
      <c r="J876" s="64">
        <v>604912</v>
      </c>
      <c r="M876" s="67" t="s">
        <v>239</v>
      </c>
      <c r="N876" s="67" t="s">
        <v>50</v>
      </c>
      <c r="O876" s="64">
        <v>604912</v>
      </c>
    </row>
    <row r="877" spans="3:15" x14ac:dyDescent="0.25">
      <c r="C877" s="57"/>
      <c r="G877" s="64">
        <v>666829.1</v>
      </c>
      <c r="J877" s="64">
        <v>90899</v>
      </c>
      <c r="M877" s="67" t="s">
        <v>239</v>
      </c>
      <c r="N877" s="67" t="s">
        <v>50</v>
      </c>
      <c r="O877" s="64">
        <v>90899</v>
      </c>
    </row>
    <row r="878" spans="3:15" ht="15.75" x14ac:dyDescent="0.25">
      <c r="C878" s="56">
        <v>34328</v>
      </c>
      <c r="G878" s="65">
        <v>34328</v>
      </c>
      <c r="J878" s="64">
        <v>21050.400000000001</v>
      </c>
      <c r="M878" s="67" t="s">
        <v>239</v>
      </c>
      <c r="N878" s="67" t="s">
        <v>50</v>
      </c>
      <c r="O878" s="64">
        <v>21050.400000000001</v>
      </c>
    </row>
    <row r="879" spans="3:15" ht="15.75" x14ac:dyDescent="0.25">
      <c r="C879" s="56">
        <v>14135.8</v>
      </c>
      <c r="G879" s="65">
        <v>14135.8</v>
      </c>
      <c r="J879" s="64">
        <v>194091</v>
      </c>
      <c r="M879" s="67" t="s">
        <v>239</v>
      </c>
      <c r="N879" s="67" t="s">
        <v>50</v>
      </c>
      <c r="O879" s="64">
        <v>194091</v>
      </c>
    </row>
    <row r="880" spans="3:15" ht="15.75" x14ac:dyDescent="0.25">
      <c r="C880" s="56">
        <v>56882</v>
      </c>
      <c r="G880" s="65">
        <v>56882</v>
      </c>
      <c r="J880" s="64">
        <v>25479.599999999999</v>
      </c>
      <c r="M880" s="67" t="s">
        <v>239</v>
      </c>
      <c r="N880" s="67" t="s">
        <v>50</v>
      </c>
      <c r="O880" s="64">
        <v>25479.599999999999</v>
      </c>
    </row>
    <row r="881" spans="3:15" ht="15.75" x14ac:dyDescent="0.25">
      <c r="C881" s="56">
        <v>78197.960000000006</v>
      </c>
      <c r="G881" s="65">
        <v>78197.960000000006</v>
      </c>
      <c r="J881" s="64">
        <v>115644</v>
      </c>
      <c r="M881" s="67" t="s">
        <v>239</v>
      </c>
      <c r="N881" s="67" t="s">
        <v>50</v>
      </c>
      <c r="O881" s="64">
        <v>115644</v>
      </c>
    </row>
    <row r="882" spans="3:15" ht="15.75" x14ac:dyDescent="0.25">
      <c r="C882" s="56">
        <v>6545.7</v>
      </c>
      <c r="G882" s="65">
        <v>6545.7</v>
      </c>
      <c r="J882" s="64">
        <v>2576979.66</v>
      </c>
      <c r="M882" s="67" t="s">
        <v>239</v>
      </c>
      <c r="N882" s="67" t="s">
        <v>50</v>
      </c>
      <c r="O882" s="64">
        <v>2576979.66</v>
      </c>
    </row>
    <row r="883" spans="3:15" ht="15.75" x14ac:dyDescent="0.25">
      <c r="C883" s="56">
        <v>350293.2</v>
      </c>
      <c r="G883" s="65">
        <v>350293.2</v>
      </c>
      <c r="J883" s="64">
        <v>19489</v>
      </c>
      <c r="M883" s="67" t="s">
        <v>240</v>
      </c>
      <c r="N883" s="67" t="s">
        <v>50</v>
      </c>
      <c r="O883" s="64">
        <v>19489</v>
      </c>
    </row>
    <row r="884" spans="3:15" ht="15.75" x14ac:dyDescent="0.25">
      <c r="C884" s="56">
        <v>57891</v>
      </c>
      <c r="G884" s="65">
        <v>57891</v>
      </c>
      <c r="J884" s="64">
        <v>4100.3999999999996</v>
      </c>
      <c r="M884" s="67" t="s">
        <v>240</v>
      </c>
      <c r="N884" s="67" t="s">
        <v>50</v>
      </c>
      <c r="O884" s="64">
        <v>4100.3999999999996</v>
      </c>
    </row>
    <row r="885" spans="3:15" x14ac:dyDescent="0.25">
      <c r="C885" s="57"/>
      <c r="G885" s="64">
        <v>264105</v>
      </c>
      <c r="J885" s="64">
        <v>159192</v>
      </c>
      <c r="M885" s="67" t="s">
        <v>240</v>
      </c>
      <c r="N885" s="67" t="s">
        <v>50</v>
      </c>
      <c r="O885" s="64">
        <v>159192</v>
      </c>
    </row>
    <row r="886" spans="3:15" x14ac:dyDescent="0.25">
      <c r="C886" s="57"/>
      <c r="G886" s="64">
        <v>144267</v>
      </c>
      <c r="J886" s="64">
        <v>139648</v>
      </c>
      <c r="M886" s="67" t="s">
        <v>240</v>
      </c>
      <c r="N886" s="67" t="s">
        <v>50</v>
      </c>
      <c r="O886" s="64">
        <v>139648</v>
      </c>
    </row>
    <row r="887" spans="3:15" ht="15.75" x14ac:dyDescent="0.25">
      <c r="C887" s="56">
        <v>37883.4</v>
      </c>
      <c r="G887" s="65">
        <v>37883.4</v>
      </c>
      <c r="J887" s="64">
        <v>250432</v>
      </c>
      <c r="M887" s="67" t="s">
        <v>241</v>
      </c>
      <c r="N887" s="67" t="s">
        <v>50</v>
      </c>
      <c r="O887" s="64">
        <v>250432</v>
      </c>
    </row>
    <row r="888" spans="3:15" ht="15.75" x14ac:dyDescent="0.25">
      <c r="C888" s="56">
        <v>11869.12</v>
      </c>
      <c r="G888" s="65">
        <v>11869.2</v>
      </c>
      <c r="J888" s="64">
        <v>2653846.5</v>
      </c>
      <c r="M888" s="67" t="s">
        <v>241</v>
      </c>
      <c r="N888" s="67" t="s">
        <v>50</v>
      </c>
      <c r="O888" s="64">
        <v>2653846.5</v>
      </c>
    </row>
    <row r="889" spans="3:15" ht="15.75" x14ac:dyDescent="0.25">
      <c r="C889" s="56">
        <v>80142.080000000002</v>
      </c>
      <c r="G889" s="65">
        <v>267140.25</v>
      </c>
      <c r="J889" s="64">
        <v>160215.6</v>
      </c>
      <c r="M889" s="67" t="s">
        <v>241</v>
      </c>
      <c r="N889" s="67" t="s">
        <v>50</v>
      </c>
      <c r="O889" s="64">
        <v>160215.6</v>
      </c>
    </row>
    <row r="890" spans="3:15" ht="15.75" x14ac:dyDescent="0.25">
      <c r="C890" s="56">
        <v>62910.720000000001</v>
      </c>
      <c r="G890" s="65">
        <v>62928.72</v>
      </c>
      <c r="J890" s="64">
        <v>2444053.2000000002</v>
      </c>
      <c r="M890" s="67" t="s">
        <v>241</v>
      </c>
      <c r="N890" s="67" t="s">
        <v>50</v>
      </c>
      <c r="O890" s="64">
        <v>2444053.2000000002</v>
      </c>
    </row>
    <row r="891" spans="3:15" x14ac:dyDescent="0.25">
      <c r="C891" s="57"/>
      <c r="G891" s="64">
        <v>43728.01</v>
      </c>
      <c r="J891" s="64">
        <v>7426.25</v>
      </c>
      <c r="M891" s="67" t="s">
        <v>241</v>
      </c>
      <c r="N891" s="67" t="s">
        <v>11</v>
      </c>
      <c r="O891" s="64">
        <v>7426.25</v>
      </c>
    </row>
    <row r="892" spans="3:15" ht="15.75" x14ac:dyDescent="0.25">
      <c r="C892" s="56">
        <v>3462.9</v>
      </c>
      <c r="G892" s="65">
        <v>3462.9</v>
      </c>
      <c r="J892" s="64">
        <v>323784</v>
      </c>
      <c r="M892" s="67" t="s">
        <v>242</v>
      </c>
      <c r="N892" s="67" t="s">
        <v>50</v>
      </c>
      <c r="O892" s="64">
        <v>323784</v>
      </c>
    </row>
    <row r="893" spans="3:15" ht="15.75" x14ac:dyDescent="0.25">
      <c r="C893" s="56">
        <v>13851.6</v>
      </c>
      <c r="G893" s="65">
        <v>13851.6</v>
      </c>
      <c r="J893" s="64">
        <v>266555.55</v>
      </c>
      <c r="M893" s="67" t="s">
        <v>242</v>
      </c>
      <c r="N893" s="67" t="s">
        <v>11</v>
      </c>
      <c r="O893" s="64">
        <v>266555.55</v>
      </c>
    </row>
    <row r="894" spans="3:15" ht="15.75" x14ac:dyDescent="0.25">
      <c r="C894" s="56">
        <v>41706.699999999997</v>
      </c>
      <c r="G894" s="65">
        <v>41706.699999999997</v>
      </c>
      <c r="J894" s="64">
        <v>17452.8</v>
      </c>
      <c r="M894" s="67" t="s">
        <v>242</v>
      </c>
      <c r="N894" s="67" t="s">
        <v>50</v>
      </c>
      <c r="O894" s="64">
        <v>17452.8</v>
      </c>
    </row>
    <row r="895" spans="3:15" x14ac:dyDescent="0.25">
      <c r="C895" s="57"/>
      <c r="G895" s="64">
        <v>45100.5</v>
      </c>
      <c r="J895" s="64">
        <v>1632583.4</v>
      </c>
      <c r="M895" s="67" t="s">
        <v>242</v>
      </c>
      <c r="N895" s="67" t="s">
        <v>50</v>
      </c>
      <c r="O895" s="64">
        <v>1632583.4</v>
      </c>
    </row>
    <row r="896" spans="3:15" ht="15.75" x14ac:dyDescent="0.25">
      <c r="C896" s="56">
        <v>13645.8</v>
      </c>
      <c r="G896" s="65">
        <v>13645.8</v>
      </c>
      <c r="J896" s="64">
        <v>1809</v>
      </c>
      <c r="M896" s="67" t="s">
        <v>242</v>
      </c>
      <c r="N896" s="67" t="s">
        <v>50</v>
      </c>
      <c r="O896" s="64">
        <v>1809</v>
      </c>
    </row>
    <row r="897" spans="3:15" ht="15.75" x14ac:dyDescent="0.25">
      <c r="C897" s="56">
        <v>17667.3</v>
      </c>
      <c r="G897" s="65">
        <v>17667.3</v>
      </c>
      <c r="J897" s="64">
        <v>127502.56</v>
      </c>
      <c r="M897" s="67" t="s">
        <v>242</v>
      </c>
      <c r="N897" s="67" t="s">
        <v>50</v>
      </c>
      <c r="O897" s="64">
        <v>127502.56</v>
      </c>
    </row>
    <row r="898" spans="3:15" x14ac:dyDescent="0.25">
      <c r="C898" s="57"/>
      <c r="G898" s="64">
        <v>2756013.4</v>
      </c>
      <c r="J898" s="64">
        <v>190167.5</v>
      </c>
      <c r="M898" s="67" t="s">
        <v>242</v>
      </c>
      <c r="N898" s="67" t="s">
        <v>50</v>
      </c>
      <c r="O898" s="64">
        <v>190167.5</v>
      </c>
    </row>
    <row r="899" spans="3:15" x14ac:dyDescent="0.25">
      <c r="C899" s="57"/>
      <c r="G899" s="64">
        <v>204209.25</v>
      </c>
      <c r="J899" s="64">
        <v>3044741</v>
      </c>
      <c r="M899" s="67" t="s">
        <v>242</v>
      </c>
      <c r="N899" s="67" t="s">
        <v>50</v>
      </c>
      <c r="O899" s="64">
        <v>3044741</v>
      </c>
    </row>
    <row r="900" spans="3:15" ht="15.75" x14ac:dyDescent="0.25">
      <c r="C900" s="56">
        <v>437556</v>
      </c>
      <c r="G900" s="65">
        <v>437556</v>
      </c>
      <c r="J900" s="64">
        <v>6541932.2400000002</v>
      </c>
      <c r="M900" s="67" t="s">
        <v>242</v>
      </c>
      <c r="N900" s="67" t="s">
        <v>50</v>
      </c>
      <c r="O900" s="64">
        <v>6541932.2400000002</v>
      </c>
    </row>
    <row r="901" spans="3:15" ht="15.75" x14ac:dyDescent="0.25">
      <c r="C901" s="56">
        <v>379609.3</v>
      </c>
      <c r="G901" s="65">
        <v>379609.3</v>
      </c>
      <c r="J901" s="64">
        <v>34706.800000000003</v>
      </c>
      <c r="M901" s="67" t="s">
        <v>243</v>
      </c>
      <c r="N901" s="67" t="s">
        <v>11</v>
      </c>
      <c r="O901" s="64">
        <v>34706.800000000003</v>
      </c>
    </row>
    <row r="902" spans="3:15" x14ac:dyDescent="0.25">
      <c r="C902" s="57"/>
      <c r="G902" s="64">
        <v>4722.75</v>
      </c>
      <c r="J902" s="64">
        <v>443675.2</v>
      </c>
      <c r="M902" s="67" t="s">
        <v>243</v>
      </c>
      <c r="N902" s="67" t="s">
        <v>50</v>
      </c>
      <c r="O902" s="64">
        <v>443675.2</v>
      </c>
    </row>
    <row r="903" spans="3:15" ht="15.75" x14ac:dyDescent="0.25">
      <c r="C903" s="56">
        <v>10541.2</v>
      </c>
      <c r="G903" s="65">
        <v>10541.2</v>
      </c>
      <c r="J903" s="64">
        <v>8032.5</v>
      </c>
      <c r="M903" s="67" t="s">
        <v>243</v>
      </c>
      <c r="N903" s="67" t="s">
        <v>50</v>
      </c>
      <c r="O903" s="64">
        <v>8032.5</v>
      </c>
    </row>
    <row r="904" spans="3:15" x14ac:dyDescent="0.25">
      <c r="C904" s="57"/>
      <c r="G904" s="64">
        <v>9099</v>
      </c>
      <c r="J904" s="64">
        <v>48586</v>
      </c>
      <c r="M904" s="67" t="s">
        <v>244</v>
      </c>
      <c r="N904" s="67" t="s">
        <v>11</v>
      </c>
      <c r="O904" s="64">
        <v>48586</v>
      </c>
    </row>
    <row r="905" spans="3:15" ht="15.75" x14ac:dyDescent="0.25">
      <c r="C905" s="56">
        <v>4246.2</v>
      </c>
      <c r="G905" s="65">
        <v>4246.2</v>
      </c>
      <c r="J905" s="64">
        <v>93840</v>
      </c>
      <c r="M905" s="67" t="s">
        <v>244</v>
      </c>
      <c r="N905" s="67" t="s">
        <v>50</v>
      </c>
      <c r="O905" s="64">
        <v>93840</v>
      </c>
    </row>
    <row r="906" spans="3:15" ht="15.75" x14ac:dyDescent="0.25">
      <c r="C906" s="56">
        <v>12873</v>
      </c>
      <c r="G906" s="65">
        <v>12873</v>
      </c>
      <c r="J906" s="64">
        <v>25438.799999999999</v>
      </c>
      <c r="M906" s="67" t="s">
        <v>244</v>
      </c>
      <c r="N906" s="67" t="s">
        <v>11</v>
      </c>
      <c r="O906" s="64">
        <v>25438.799999999999</v>
      </c>
    </row>
    <row r="907" spans="3:15" ht="15.75" x14ac:dyDescent="0.25">
      <c r="C907" s="56">
        <v>17803.8</v>
      </c>
      <c r="G907" s="65">
        <v>17803.8</v>
      </c>
      <c r="J907" s="64">
        <v>529734.28</v>
      </c>
      <c r="M907" s="67" t="s">
        <v>245</v>
      </c>
      <c r="N907" s="67" t="s">
        <v>50</v>
      </c>
      <c r="O907" s="64">
        <v>529734.28</v>
      </c>
    </row>
    <row r="908" spans="3:15" ht="15.75" x14ac:dyDescent="0.25">
      <c r="C908" s="56">
        <v>17758.5</v>
      </c>
      <c r="G908" s="65">
        <v>17758.5</v>
      </c>
      <c r="J908" s="64">
        <v>774761.14</v>
      </c>
      <c r="M908" s="67" t="s">
        <v>245</v>
      </c>
      <c r="N908" s="67" t="s">
        <v>50</v>
      </c>
      <c r="O908" s="64">
        <v>774761.14</v>
      </c>
    </row>
    <row r="909" spans="3:15" ht="15.75" x14ac:dyDescent="0.25">
      <c r="C909" s="56">
        <v>177362.26</v>
      </c>
      <c r="G909" s="65">
        <v>177362.26</v>
      </c>
      <c r="J909" s="64">
        <v>28932.3</v>
      </c>
      <c r="M909" s="67" t="s">
        <v>245</v>
      </c>
      <c r="N909" s="67" t="s">
        <v>50</v>
      </c>
      <c r="O909" s="64">
        <v>28932.3</v>
      </c>
    </row>
    <row r="910" spans="3:15" x14ac:dyDescent="0.25">
      <c r="C910" s="57"/>
      <c r="G910" s="64">
        <v>67408</v>
      </c>
      <c r="J910" s="64">
        <v>236022.39999999999</v>
      </c>
      <c r="M910" s="67" t="s">
        <v>245</v>
      </c>
      <c r="N910" s="67" t="s">
        <v>50</v>
      </c>
      <c r="O910" s="64">
        <v>236022.39999999999</v>
      </c>
    </row>
    <row r="911" spans="3:15" x14ac:dyDescent="0.25">
      <c r="C911" s="57"/>
      <c r="G911" s="64">
        <v>1123311.1499999999</v>
      </c>
      <c r="J911" s="64">
        <v>775960.56</v>
      </c>
      <c r="M911" s="67" t="s">
        <v>245</v>
      </c>
      <c r="N911" s="67" t="s">
        <v>50</v>
      </c>
      <c r="O911" s="64">
        <v>775960.56</v>
      </c>
    </row>
    <row r="912" spans="3:15" ht="15.75" x14ac:dyDescent="0.25">
      <c r="C912" s="56">
        <v>244932.6</v>
      </c>
      <c r="G912" s="65">
        <v>244932.6</v>
      </c>
      <c r="J912" s="64">
        <v>7812264.1200000001</v>
      </c>
      <c r="M912" s="67" t="s">
        <v>246</v>
      </c>
      <c r="N912" s="67" t="s">
        <v>50</v>
      </c>
      <c r="O912" s="64">
        <v>7812264.1200000001</v>
      </c>
    </row>
    <row r="913" spans="3:15" ht="15.75" x14ac:dyDescent="0.25">
      <c r="C913" s="56">
        <v>66510</v>
      </c>
      <c r="G913" s="65">
        <v>66510</v>
      </c>
      <c r="J913" s="64">
        <v>261086.24</v>
      </c>
      <c r="M913" s="67" t="s">
        <v>246</v>
      </c>
      <c r="N913" s="67" t="s">
        <v>50</v>
      </c>
      <c r="O913" s="64">
        <v>261086.24</v>
      </c>
    </row>
    <row r="914" spans="3:15" x14ac:dyDescent="0.25">
      <c r="C914" s="57"/>
      <c r="G914" s="64">
        <v>95760</v>
      </c>
      <c r="J914" s="64">
        <v>1256818.3600000001</v>
      </c>
      <c r="M914" s="67" t="s">
        <v>246</v>
      </c>
      <c r="N914" s="67" t="s">
        <v>50</v>
      </c>
      <c r="O914" s="64">
        <v>1256818.3600000001</v>
      </c>
    </row>
    <row r="915" spans="3:15" ht="15.75" x14ac:dyDescent="0.25">
      <c r="C915" s="56">
        <v>70777.64</v>
      </c>
      <c r="G915" s="65">
        <v>70777.64</v>
      </c>
      <c r="J915" s="64">
        <v>65489</v>
      </c>
      <c r="M915" s="67" t="s">
        <v>247</v>
      </c>
      <c r="N915" s="67" t="s">
        <v>50</v>
      </c>
      <c r="O915" s="64">
        <v>65489</v>
      </c>
    </row>
    <row r="916" spans="3:15" x14ac:dyDescent="0.25">
      <c r="C916" s="57"/>
      <c r="G916" s="64">
        <v>1941.8</v>
      </c>
      <c r="J916" s="64">
        <v>30838.400000000001</v>
      </c>
      <c r="M916" s="67" t="s">
        <v>247</v>
      </c>
      <c r="N916" s="67" t="s">
        <v>11</v>
      </c>
      <c r="O916" s="64">
        <v>30838.400000000001</v>
      </c>
    </row>
    <row r="917" spans="3:15" ht="15.75" x14ac:dyDescent="0.25">
      <c r="C917" s="56">
        <v>1164.7</v>
      </c>
      <c r="G917" s="65">
        <v>1164.7</v>
      </c>
      <c r="J917" s="64">
        <v>94379.55</v>
      </c>
      <c r="M917" s="67" t="s">
        <v>247</v>
      </c>
      <c r="N917" s="67" t="s">
        <v>11</v>
      </c>
      <c r="O917" s="64">
        <v>94379.55</v>
      </c>
    </row>
    <row r="918" spans="3:15" ht="15.75" x14ac:dyDescent="0.25">
      <c r="C918" s="56">
        <v>2934.4</v>
      </c>
      <c r="G918" s="65">
        <v>2934.4</v>
      </c>
      <c r="J918" s="64">
        <v>13884.5</v>
      </c>
      <c r="M918" s="67" t="s">
        <v>247</v>
      </c>
      <c r="N918" s="67" t="s">
        <v>50</v>
      </c>
      <c r="O918" s="64">
        <v>13884.5</v>
      </c>
    </row>
    <row r="919" spans="3:15" x14ac:dyDescent="0.25">
      <c r="C919" s="57"/>
      <c r="G919" s="64">
        <v>42256.800000000003</v>
      </c>
      <c r="J919" s="64">
        <v>247932.7</v>
      </c>
      <c r="M919" s="67" t="s">
        <v>247</v>
      </c>
      <c r="N919" s="67" t="s">
        <v>50</v>
      </c>
      <c r="O919" s="64">
        <v>247932.7</v>
      </c>
    </row>
    <row r="920" spans="3:15" ht="15.75" x14ac:dyDescent="0.25">
      <c r="C920" s="56">
        <v>20129.400000000001</v>
      </c>
      <c r="G920" s="65">
        <v>20129.400000000001</v>
      </c>
      <c r="J920" s="64">
        <v>143433.20000000001</v>
      </c>
      <c r="M920" s="67" t="s">
        <v>247</v>
      </c>
      <c r="N920" s="67" t="s">
        <v>11</v>
      </c>
      <c r="O920" s="64">
        <v>143433.20000000001</v>
      </c>
    </row>
    <row r="921" spans="3:15" ht="15.75" x14ac:dyDescent="0.25">
      <c r="C921" s="56">
        <v>31867.5</v>
      </c>
      <c r="G921" s="65">
        <v>31867.5</v>
      </c>
      <c r="J921" s="64">
        <v>911889.2</v>
      </c>
      <c r="M921" s="67" t="s">
        <v>247</v>
      </c>
      <c r="N921" s="67" t="s">
        <v>50</v>
      </c>
      <c r="O921" s="64">
        <v>911889.2</v>
      </c>
    </row>
    <row r="922" spans="3:15" x14ac:dyDescent="0.25">
      <c r="C922" s="57"/>
      <c r="G922" s="64">
        <v>79855.75</v>
      </c>
      <c r="J922" s="64">
        <v>1958120.4</v>
      </c>
      <c r="M922" s="67" t="s">
        <v>247</v>
      </c>
      <c r="N922" s="67" t="s">
        <v>50</v>
      </c>
      <c r="O922" s="64">
        <v>1958120.4</v>
      </c>
    </row>
    <row r="923" spans="3:15" ht="15.75" x14ac:dyDescent="0.25">
      <c r="C923" s="56">
        <v>64026.9</v>
      </c>
      <c r="G923" s="65">
        <v>64026.9</v>
      </c>
      <c r="J923" s="64">
        <v>1122791.6000000001</v>
      </c>
      <c r="M923" s="67" t="s">
        <v>247</v>
      </c>
      <c r="N923" s="67" t="s">
        <v>50</v>
      </c>
      <c r="O923" s="64">
        <v>1122791.6000000001</v>
      </c>
    </row>
    <row r="924" spans="3:15" ht="15.75" x14ac:dyDescent="0.25">
      <c r="C924" s="56">
        <v>11391.1</v>
      </c>
      <c r="G924" s="65">
        <v>11391.1</v>
      </c>
      <c r="J924" s="64">
        <v>227576.2</v>
      </c>
      <c r="M924" s="67" t="s">
        <v>247</v>
      </c>
      <c r="N924" s="67" t="s">
        <v>50</v>
      </c>
      <c r="O924" s="64">
        <v>227576.2</v>
      </c>
    </row>
    <row r="925" spans="3:15" x14ac:dyDescent="0.25">
      <c r="C925" s="57"/>
      <c r="G925" s="64">
        <v>7117.6</v>
      </c>
      <c r="J925" s="64">
        <v>1861456.2</v>
      </c>
      <c r="M925" s="67" t="s">
        <v>247</v>
      </c>
      <c r="N925" s="67" t="s">
        <v>50</v>
      </c>
      <c r="O925" s="64">
        <v>1861456.2</v>
      </c>
    </row>
    <row r="926" spans="3:15" ht="15.75" x14ac:dyDescent="0.25">
      <c r="C926" s="56">
        <v>32515</v>
      </c>
      <c r="G926" s="65">
        <v>32515</v>
      </c>
      <c r="J926" s="64">
        <v>4932</v>
      </c>
      <c r="M926" s="67" t="s">
        <v>248</v>
      </c>
      <c r="N926" s="67" t="s">
        <v>50</v>
      </c>
      <c r="O926" s="64">
        <v>4932</v>
      </c>
    </row>
    <row r="927" spans="3:15" ht="15.75" x14ac:dyDescent="0.25">
      <c r="C927" s="56">
        <v>12838</v>
      </c>
      <c r="G927" s="65">
        <v>12838</v>
      </c>
      <c r="J927" s="64">
        <v>33741</v>
      </c>
      <c r="M927" s="67" t="s">
        <v>248</v>
      </c>
      <c r="N927" s="67" t="s">
        <v>50</v>
      </c>
      <c r="O927" s="64">
        <v>33741</v>
      </c>
    </row>
    <row r="928" spans="3:15" x14ac:dyDescent="0.25">
      <c r="C928" s="57"/>
      <c r="G928" s="64">
        <v>34525.300000000003</v>
      </c>
      <c r="J928" s="64">
        <v>259394.08</v>
      </c>
      <c r="M928" s="67" t="s">
        <v>248</v>
      </c>
      <c r="N928" s="67" t="s">
        <v>50</v>
      </c>
      <c r="O928" s="64">
        <v>259394.08</v>
      </c>
    </row>
    <row r="929" spans="3:15" ht="15.75" x14ac:dyDescent="0.25">
      <c r="C929" s="56">
        <v>56350</v>
      </c>
      <c r="G929" s="65">
        <v>56350</v>
      </c>
      <c r="J929" s="64">
        <v>89502.399999999994</v>
      </c>
      <c r="M929" s="67" t="s">
        <v>248</v>
      </c>
      <c r="N929" s="67" t="s">
        <v>50</v>
      </c>
      <c r="O929" s="64">
        <v>89502.399999999994</v>
      </c>
    </row>
    <row r="930" spans="3:15" ht="15.75" x14ac:dyDescent="0.25">
      <c r="C930" s="56">
        <v>31020.799999999999</v>
      </c>
      <c r="G930" s="65">
        <v>31020.799999999999</v>
      </c>
      <c r="J930" s="64">
        <v>53267.4</v>
      </c>
      <c r="M930" s="67" t="s">
        <v>248</v>
      </c>
      <c r="N930" s="67" t="s">
        <v>50</v>
      </c>
      <c r="O930" s="64">
        <v>53267.4</v>
      </c>
    </row>
    <row r="931" spans="3:15" x14ac:dyDescent="0.25">
      <c r="C931" s="57"/>
      <c r="G931" s="64">
        <v>4303203.2</v>
      </c>
      <c r="J931" s="64">
        <v>214152</v>
      </c>
      <c r="M931" s="67" t="s">
        <v>249</v>
      </c>
      <c r="N931" s="67" t="s">
        <v>50</v>
      </c>
      <c r="O931" s="64">
        <v>214152</v>
      </c>
    </row>
    <row r="932" spans="3:15" ht="15.75" x14ac:dyDescent="0.25">
      <c r="C932" s="56">
        <v>70654.8</v>
      </c>
      <c r="G932" s="65">
        <v>70654.8</v>
      </c>
      <c r="J932" s="64">
        <v>12792</v>
      </c>
      <c r="M932" s="67" t="s">
        <v>249</v>
      </c>
      <c r="N932" s="67" t="s">
        <v>50</v>
      </c>
      <c r="O932" s="64">
        <v>12792</v>
      </c>
    </row>
    <row r="933" spans="3:15" x14ac:dyDescent="0.25">
      <c r="C933" s="57"/>
      <c r="G933" s="64">
        <v>2496093.75</v>
      </c>
      <c r="J933" s="64">
        <v>40441.599999999999</v>
      </c>
      <c r="M933" s="67" t="s">
        <v>249</v>
      </c>
      <c r="N933" s="67" t="s">
        <v>50</v>
      </c>
      <c r="O933" s="64">
        <v>40441.599999999999</v>
      </c>
    </row>
    <row r="934" spans="3:15" x14ac:dyDescent="0.25">
      <c r="C934" s="57"/>
      <c r="G934" s="64">
        <v>5683.5</v>
      </c>
      <c r="J934" s="64">
        <v>24422.400000000001</v>
      </c>
      <c r="M934" s="67" t="s">
        <v>249</v>
      </c>
      <c r="N934" s="67" t="s">
        <v>50</v>
      </c>
      <c r="O934" s="64">
        <v>24422.400000000001</v>
      </c>
    </row>
    <row r="935" spans="3:15" ht="15.75" x14ac:dyDescent="0.25">
      <c r="C935" s="56">
        <v>23575.4</v>
      </c>
      <c r="G935" s="65">
        <v>23575.4</v>
      </c>
      <c r="J935" s="64">
        <v>31745.200000000001</v>
      </c>
      <c r="M935" s="67" t="s">
        <v>249</v>
      </c>
      <c r="N935" s="67" t="s">
        <v>11</v>
      </c>
      <c r="O935" s="64">
        <v>31745.200000000001</v>
      </c>
    </row>
    <row r="936" spans="3:15" ht="15.75" x14ac:dyDescent="0.25">
      <c r="C936" s="56">
        <v>9709</v>
      </c>
      <c r="G936" s="65">
        <v>9709</v>
      </c>
      <c r="J936" s="64">
        <v>683089</v>
      </c>
      <c r="M936" s="67" t="s">
        <v>249</v>
      </c>
      <c r="N936" s="67" t="s">
        <v>50</v>
      </c>
      <c r="O936" s="64">
        <v>683089</v>
      </c>
    </row>
    <row r="937" spans="3:15" ht="15.75" x14ac:dyDescent="0.25">
      <c r="C937" s="56">
        <v>3001.6</v>
      </c>
      <c r="G937" s="65">
        <v>3001.6</v>
      </c>
      <c r="J937" s="64">
        <v>285536</v>
      </c>
      <c r="M937" s="67" t="s">
        <v>250</v>
      </c>
      <c r="N937" s="67" t="s">
        <v>50</v>
      </c>
      <c r="O937" s="64">
        <v>285536</v>
      </c>
    </row>
    <row r="938" spans="3:15" ht="15.75" x14ac:dyDescent="0.25">
      <c r="C938" s="56">
        <v>21565.8</v>
      </c>
      <c r="G938" s="65">
        <v>21565.8</v>
      </c>
      <c r="J938" s="64">
        <v>17363.25</v>
      </c>
      <c r="M938" s="67" t="s">
        <v>250</v>
      </c>
      <c r="N938" s="67" t="s">
        <v>11</v>
      </c>
      <c r="O938" s="64">
        <v>17363.25</v>
      </c>
    </row>
    <row r="939" spans="3:15" ht="15.75" x14ac:dyDescent="0.25">
      <c r="C939" s="56">
        <v>231868.5</v>
      </c>
      <c r="G939" s="65">
        <v>231868.5</v>
      </c>
      <c r="J939" s="64">
        <v>83445</v>
      </c>
      <c r="M939" s="67" t="s">
        <v>250</v>
      </c>
      <c r="N939" s="67" t="s">
        <v>50</v>
      </c>
      <c r="O939" s="64">
        <v>83445</v>
      </c>
    </row>
    <row r="940" spans="3:15" x14ac:dyDescent="0.25">
      <c r="C940" s="57"/>
      <c r="G940" s="64">
        <v>2981645.02</v>
      </c>
      <c r="J940" s="64">
        <v>23475.200000000001</v>
      </c>
      <c r="M940" s="67" t="s">
        <v>250</v>
      </c>
      <c r="N940" s="67" t="s">
        <v>50</v>
      </c>
      <c r="O940" s="64">
        <v>23475.200000000001</v>
      </c>
    </row>
    <row r="941" spans="3:15" x14ac:dyDescent="0.25">
      <c r="C941" s="63"/>
      <c r="G941" s="65">
        <v>157222.25</v>
      </c>
      <c r="J941" s="64">
        <v>1079640</v>
      </c>
      <c r="M941" s="67" t="s">
        <v>250</v>
      </c>
      <c r="N941" s="67" t="s">
        <v>50</v>
      </c>
      <c r="O941" s="64">
        <v>1079640</v>
      </c>
    </row>
    <row r="942" spans="3:15" ht="15.75" x14ac:dyDescent="0.25">
      <c r="C942" s="56">
        <v>12044.9</v>
      </c>
      <c r="G942" s="65">
        <v>12044.9</v>
      </c>
      <c r="J942" s="64">
        <v>330080.40000000002</v>
      </c>
      <c r="M942" s="67" t="s">
        <v>250</v>
      </c>
      <c r="N942" s="67" t="s">
        <v>50</v>
      </c>
      <c r="O942" s="64">
        <v>330080.40000000002</v>
      </c>
    </row>
    <row r="943" spans="3:15" ht="15.75" x14ac:dyDescent="0.25">
      <c r="C943" s="56">
        <v>4246.2</v>
      </c>
      <c r="G943" s="65">
        <v>4246.2</v>
      </c>
      <c r="J943" s="64">
        <v>104277.15</v>
      </c>
      <c r="M943" s="67" t="s">
        <v>250</v>
      </c>
      <c r="N943" s="67" t="s">
        <v>50</v>
      </c>
      <c r="O943" s="64">
        <v>104277.15</v>
      </c>
    </row>
    <row r="944" spans="3:15" ht="15.75" x14ac:dyDescent="0.25">
      <c r="C944" s="56">
        <v>105821.1</v>
      </c>
      <c r="G944" s="65">
        <v>105821.1</v>
      </c>
      <c r="J944" s="64">
        <v>37720</v>
      </c>
      <c r="M944" s="67" t="s">
        <v>250</v>
      </c>
      <c r="N944" s="67" t="s">
        <v>11</v>
      </c>
      <c r="O944" s="64">
        <v>37720</v>
      </c>
    </row>
    <row r="945" spans="3:15" ht="15.75" x14ac:dyDescent="0.25">
      <c r="C945" s="56">
        <v>1164.7</v>
      </c>
      <c r="G945" s="65">
        <v>1164.7</v>
      </c>
      <c r="J945" s="64">
        <v>86348.5</v>
      </c>
      <c r="M945" s="67" t="s">
        <v>251</v>
      </c>
      <c r="N945" s="67" t="s">
        <v>50</v>
      </c>
      <c r="O945" s="64">
        <v>86348.5</v>
      </c>
    </row>
    <row r="946" spans="3:15" x14ac:dyDescent="0.25">
      <c r="C946" s="63"/>
      <c r="G946" s="65">
        <v>11391</v>
      </c>
      <c r="J946" s="64">
        <v>24217</v>
      </c>
      <c r="M946" s="67" t="s">
        <v>251</v>
      </c>
      <c r="N946" s="67" t="s">
        <v>50</v>
      </c>
      <c r="O946" s="64">
        <v>24217</v>
      </c>
    </row>
    <row r="947" spans="3:15" x14ac:dyDescent="0.25">
      <c r="C947" s="57"/>
      <c r="G947" s="64">
        <v>217072.8</v>
      </c>
      <c r="J947" s="64">
        <v>639765</v>
      </c>
      <c r="M947" s="67" t="s">
        <v>251</v>
      </c>
      <c r="N947" s="67" t="s">
        <v>50</v>
      </c>
      <c r="O947" s="64">
        <v>639765</v>
      </c>
    </row>
    <row r="948" spans="3:15" x14ac:dyDescent="0.25">
      <c r="C948" s="63"/>
      <c r="G948" s="65">
        <v>186395.65</v>
      </c>
      <c r="J948" s="64">
        <v>40907.199999999997</v>
      </c>
      <c r="M948" s="67" t="s">
        <v>251</v>
      </c>
      <c r="N948" s="67" t="s">
        <v>50</v>
      </c>
      <c r="O948" s="64">
        <v>40907.199999999997</v>
      </c>
    </row>
    <row r="949" spans="3:15" ht="15.75" x14ac:dyDescent="0.25">
      <c r="C949" s="56">
        <v>113444.8</v>
      </c>
      <c r="G949" s="65">
        <v>113444.8</v>
      </c>
      <c r="J949" s="64">
        <v>1731653.2</v>
      </c>
      <c r="M949" s="67" t="s">
        <v>251</v>
      </c>
      <c r="N949" s="67" t="s">
        <v>50</v>
      </c>
      <c r="O949" s="64">
        <v>1731653.2</v>
      </c>
    </row>
    <row r="950" spans="3:15" x14ac:dyDescent="0.25">
      <c r="C950" s="57"/>
      <c r="G950" s="64">
        <v>23465.4</v>
      </c>
      <c r="J950" s="64">
        <v>3869.1</v>
      </c>
      <c r="M950" s="67" t="s">
        <v>251</v>
      </c>
      <c r="N950" s="67" t="s">
        <v>50</v>
      </c>
      <c r="O950" s="64">
        <v>3869.1</v>
      </c>
    </row>
    <row r="951" spans="3:15" x14ac:dyDescent="0.25">
      <c r="C951" s="63"/>
      <c r="G951" s="65">
        <v>844023.6</v>
      </c>
      <c r="J951" s="64">
        <v>215073.6</v>
      </c>
      <c r="M951" s="67" t="s">
        <v>251</v>
      </c>
      <c r="N951" s="67" t="s">
        <v>50</v>
      </c>
      <c r="O951" s="64">
        <v>215073.6</v>
      </c>
    </row>
    <row r="952" spans="3:15" x14ac:dyDescent="0.25">
      <c r="C952" s="57"/>
      <c r="G952" s="64">
        <v>7620.9</v>
      </c>
      <c r="J952" s="64">
        <v>10876.7</v>
      </c>
      <c r="M952" s="67" t="s">
        <v>252</v>
      </c>
      <c r="N952" s="67" t="s">
        <v>50</v>
      </c>
      <c r="O952" s="64">
        <v>10876.7</v>
      </c>
    </row>
    <row r="953" spans="3:15" x14ac:dyDescent="0.25">
      <c r="C953" s="57"/>
      <c r="G953" s="64">
        <v>37434</v>
      </c>
      <c r="J953" s="64">
        <v>17695.7</v>
      </c>
      <c r="M953" s="67" t="s">
        <v>252</v>
      </c>
      <c r="N953" s="67" t="s">
        <v>11</v>
      </c>
      <c r="O953" s="64">
        <v>17695.7</v>
      </c>
    </row>
    <row r="954" spans="3:15" x14ac:dyDescent="0.25">
      <c r="C954" s="57"/>
      <c r="G954" s="64">
        <v>7117.5</v>
      </c>
      <c r="J954" s="64">
        <v>122797.5</v>
      </c>
      <c r="M954" s="67" t="s">
        <v>252</v>
      </c>
      <c r="N954" s="67" t="s">
        <v>50</v>
      </c>
      <c r="O954" s="64">
        <v>122797.5</v>
      </c>
    </row>
    <row r="955" spans="3:15" x14ac:dyDescent="0.25">
      <c r="C955" s="63"/>
      <c r="G955" s="65">
        <v>15687.92</v>
      </c>
      <c r="J955" s="64">
        <v>296271.8</v>
      </c>
      <c r="M955" s="67" t="s">
        <v>252</v>
      </c>
      <c r="N955" s="67" t="s">
        <v>50</v>
      </c>
      <c r="O955" s="64">
        <v>296271.8</v>
      </c>
    </row>
    <row r="956" spans="3:15" x14ac:dyDescent="0.25">
      <c r="C956" s="57"/>
      <c r="G956" s="64">
        <v>43174.559999999998</v>
      </c>
      <c r="J956" s="64">
        <v>437655.6</v>
      </c>
      <c r="M956" s="67" t="s">
        <v>252</v>
      </c>
      <c r="N956" s="67" t="s">
        <v>50</v>
      </c>
      <c r="O956" s="64">
        <v>437655.6</v>
      </c>
    </row>
    <row r="957" spans="3:15" ht="15.75" x14ac:dyDescent="0.25">
      <c r="C957" s="56">
        <v>2698.2</v>
      </c>
      <c r="G957" s="65">
        <v>2698.2</v>
      </c>
      <c r="J957" s="64">
        <v>8238</v>
      </c>
      <c r="M957" s="67" t="s">
        <v>252</v>
      </c>
      <c r="N957" s="67" t="s">
        <v>11</v>
      </c>
      <c r="O957" s="64">
        <v>8238</v>
      </c>
    </row>
    <row r="958" spans="3:15" x14ac:dyDescent="0.25">
      <c r="C958" s="57"/>
      <c r="G958" s="64">
        <v>109888.12</v>
      </c>
      <c r="J958" s="64">
        <v>19716067.199999999</v>
      </c>
      <c r="M958" s="67" t="s">
        <v>252</v>
      </c>
      <c r="N958" s="67" t="s">
        <v>50</v>
      </c>
      <c r="O958" s="64">
        <v>19716067.199999999</v>
      </c>
    </row>
    <row r="959" spans="3:15" x14ac:dyDescent="0.25">
      <c r="C959" s="57"/>
      <c r="G959" s="64">
        <v>25810.5</v>
      </c>
      <c r="J959" s="64">
        <v>3215468.8</v>
      </c>
      <c r="M959" s="67" t="s">
        <v>252</v>
      </c>
      <c r="N959" s="67" t="s">
        <v>50</v>
      </c>
      <c r="O959" s="64">
        <v>3215468.8</v>
      </c>
    </row>
    <row r="960" spans="3:15" x14ac:dyDescent="0.25">
      <c r="C960" s="57"/>
      <c r="G960" s="64">
        <v>848247.3</v>
      </c>
      <c r="J960" s="64">
        <v>14308</v>
      </c>
      <c r="M960" s="67" t="s">
        <v>252</v>
      </c>
      <c r="N960" s="67" t="s">
        <v>50</v>
      </c>
      <c r="O960" s="64">
        <v>14308</v>
      </c>
    </row>
    <row r="961" spans="3:15" ht="15.75" x14ac:dyDescent="0.25">
      <c r="C961" s="56">
        <v>28494.9</v>
      </c>
      <c r="G961" s="65">
        <v>28494.9</v>
      </c>
      <c r="J961" s="64">
        <v>8005537.5999999996</v>
      </c>
      <c r="M961" s="67" t="s">
        <v>253</v>
      </c>
      <c r="N961" s="67" t="s">
        <v>50</v>
      </c>
      <c r="O961" s="64">
        <v>8005537.5999999996</v>
      </c>
    </row>
    <row r="962" spans="3:15" x14ac:dyDescent="0.25">
      <c r="C962" s="57"/>
      <c r="G962" s="64">
        <v>253888.2</v>
      </c>
      <c r="J962" s="64">
        <v>95095.45</v>
      </c>
      <c r="M962" s="67" t="s">
        <v>253</v>
      </c>
      <c r="N962" s="67" t="s">
        <v>50</v>
      </c>
      <c r="O962" s="64">
        <v>95095.45</v>
      </c>
    </row>
    <row r="963" spans="3:15" x14ac:dyDescent="0.25">
      <c r="C963" s="57"/>
      <c r="G963" s="64">
        <v>2784</v>
      </c>
      <c r="J963" s="64">
        <v>103372.2</v>
      </c>
      <c r="M963" s="67" t="s">
        <v>253</v>
      </c>
      <c r="N963" s="67" t="s">
        <v>50</v>
      </c>
      <c r="O963" s="64">
        <v>103372.2</v>
      </c>
    </row>
    <row r="964" spans="3:15" x14ac:dyDescent="0.25">
      <c r="C964" s="57"/>
      <c r="G964" s="64">
        <v>724718.16</v>
      </c>
      <c r="J964" s="64">
        <v>19827.599999999999</v>
      </c>
      <c r="M964" s="67" t="s">
        <v>253</v>
      </c>
      <c r="N964" s="67" t="s">
        <v>50</v>
      </c>
      <c r="O964" s="64">
        <v>19827.599999999999</v>
      </c>
    </row>
    <row r="965" spans="3:15" x14ac:dyDescent="0.25">
      <c r="C965" s="57"/>
      <c r="G965" s="64">
        <v>189468.79999999999</v>
      </c>
      <c r="J965" s="64">
        <v>99538.92</v>
      </c>
      <c r="M965" s="67" t="s">
        <v>253</v>
      </c>
      <c r="N965" s="67" t="s">
        <v>50</v>
      </c>
      <c r="O965" s="64">
        <v>99538.92</v>
      </c>
    </row>
    <row r="966" spans="3:15" ht="15.75" x14ac:dyDescent="0.25">
      <c r="C966" s="56">
        <v>27918</v>
      </c>
      <c r="G966" s="65">
        <v>27918</v>
      </c>
      <c r="J966" s="64">
        <v>326434.95</v>
      </c>
      <c r="M966" s="67" t="s">
        <v>253</v>
      </c>
      <c r="N966" s="67" t="s">
        <v>11</v>
      </c>
      <c r="O966" s="64">
        <v>326434.95</v>
      </c>
    </row>
    <row r="967" spans="3:15" x14ac:dyDescent="0.25">
      <c r="C967" s="57"/>
      <c r="G967" s="64">
        <v>345757.55</v>
      </c>
      <c r="J967" s="64">
        <v>57473.599999999999</v>
      </c>
      <c r="M967" s="67" t="s">
        <v>253</v>
      </c>
      <c r="N967" s="67" t="s">
        <v>50</v>
      </c>
      <c r="O967" s="64">
        <v>57473.599999999999</v>
      </c>
    </row>
    <row r="968" spans="3:15" x14ac:dyDescent="0.25">
      <c r="C968" s="57"/>
      <c r="G968" s="64">
        <v>786292</v>
      </c>
      <c r="J968" s="64">
        <v>30465.599999999999</v>
      </c>
      <c r="M968" s="67" t="s">
        <v>253</v>
      </c>
      <c r="N968" s="67" t="s">
        <v>50</v>
      </c>
      <c r="O968" s="64">
        <v>30465.599999999999</v>
      </c>
    </row>
    <row r="969" spans="3:15" x14ac:dyDescent="0.25">
      <c r="C969" s="57"/>
      <c r="G969" s="64">
        <v>42314.7</v>
      </c>
      <c r="J969" s="64">
        <v>14146.7</v>
      </c>
      <c r="M969" s="67" t="s">
        <v>253</v>
      </c>
      <c r="N969" s="67" t="s">
        <v>50</v>
      </c>
      <c r="O969" s="64">
        <v>14146.7</v>
      </c>
    </row>
    <row r="970" spans="3:15" ht="15.75" x14ac:dyDescent="0.25">
      <c r="C970" s="56">
        <v>66503.5</v>
      </c>
      <c r="G970" s="65">
        <v>153776</v>
      </c>
      <c r="J970" s="64">
        <v>61081.96</v>
      </c>
      <c r="M970" s="67" t="s">
        <v>253</v>
      </c>
      <c r="N970" s="67" t="s">
        <v>50</v>
      </c>
      <c r="O970" s="64">
        <v>61081.96</v>
      </c>
    </row>
    <row r="971" spans="3:15" x14ac:dyDescent="0.25">
      <c r="C971" s="57"/>
      <c r="G971" s="64">
        <v>244071.85</v>
      </c>
      <c r="J971" s="64">
        <v>3506734.04</v>
      </c>
      <c r="M971" s="67" t="s">
        <v>254</v>
      </c>
      <c r="N971" s="67" t="s">
        <v>50</v>
      </c>
      <c r="O971" s="64">
        <v>3506734.04</v>
      </c>
    </row>
    <row r="972" spans="3:15" x14ac:dyDescent="0.25">
      <c r="C972" s="57"/>
      <c r="G972" s="64">
        <v>24417</v>
      </c>
      <c r="J972" s="64">
        <v>19458</v>
      </c>
      <c r="M972" s="67" t="s">
        <v>254</v>
      </c>
      <c r="N972" s="67" t="s">
        <v>50</v>
      </c>
      <c r="O972" s="64">
        <v>19458</v>
      </c>
    </row>
    <row r="973" spans="3:15" ht="15.75" x14ac:dyDescent="0.25">
      <c r="C973" s="56">
        <v>6013</v>
      </c>
      <c r="G973" s="65">
        <v>12963.3</v>
      </c>
      <c r="J973" s="64">
        <v>16674.45</v>
      </c>
      <c r="M973" s="67" t="s">
        <v>254</v>
      </c>
      <c r="N973" s="67" t="s">
        <v>50</v>
      </c>
      <c r="O973" s="64">
        <v>16674.45</v>
      </c>
    </row>
    <row r="974" spans="3:15" ht="15.75" x14ac:dyDescent="0.25">
      <c r="C974" s="56">
        <v>195987.4</v>
      </c>
      <c r="G974" s="65">
        <v>195987.4</v>
      </c>
      <c r="J974" s="64">
        <v>289153.5</v>
      </c>
      <c r="M974" s="67" t="s">
        <v>254</v>
      </c>
      <c r="N974" s="67" t="s">
        <v>50</v>
      </c>
      <c r="O974" s="64">
        <v>289153.5</v>
      </c>
    </row>
    <row r="975" spans="3:15" ht="15.75" x14ac:dyDescent="0.25">
      <c r="C975" s="56">
        <v>7770</v>
      </c>
      <c r="G975" s="65">
        <v>7770</v>
      </c>
      <c r="J975" s="64">
        <v>5112708.12</v>
      </c>
      <c r="M975" s="67" t="s">
        <v>254</v>
      </c>
      <c r="N975" s="67" t="s">
        <v>50</v>
      </c>
      <c r="O975" s="64">
        <v>5112708.12</v>
      </c>
    </row>
    <row r="976" spans="3:15" x14ac:dyDescent="0.25">
      <c r="C976" s="57"/>
      <c r="G976" s="64">
        <v>24016</v>
      </c>
      <c r="J976" s="64">
        <v>2953116.8</v>
      </c>
      <c r="M976" s="67" t="s">
        <v>254</v>
      </c>
      <c r="N976" s="67" t="s">
        <v>50</v>
      </c>
      <c r="O976" s="64">
        <v>2953116.8</v>
      </c>
    </row>
    <row r="977" spans="3:15" ht="15.75" x14ac:dyDescent="0.25">
      <c r="C977" s="56">
        <v>27000</v>
      </c>
      <c r="G977" s="65">
        <v>27000</v>
      </c>
      <c r="J977" s="64">
        <v>5470574.4000000004</v>
      </c>
      <c r="M977" s="67" t="s">
        <v>254</v>
      </c>
      <c r="N977" s="67" t="s">
        <v>50</v>
      </c>
      <c r="O977" s="64">
        <v>5470574.4000000004</v>
      </c>
    </row>
    <row r="978" spans="3:15" x14ac:dyDescent="0.25">
      <c r="C978" s="63"/>
      <c r="G978" s="65">
        <v>24347.4</v>
      </c>
      <c r="J978" s="64">
        <v>59587.5</v>
      </c>
      <c r="M978" s="67" t="s">
        <v>255</v>
      </c>
      <c r="N978" s="67" t="s">
        <v>50</v>
      </c>
      <c r="O978" s="64">
        <v>59587.5</v>
      </c>
    </row>
    <row r="979" spans="3:15" x14ac:dyDescent="0.25">
      <c r="C979" s="63"/>
      <c r="G979" s="65">
        <v>79015.5</v>
      </c>
      <c r="J979" s="64">
        <v>739076.25</v>
      </c>
      <c r="M979" s="67" t="s">
        <v>255</v>
      </c>
      <c r="N979" s="67" t="s">
        <v>50</v>
      </c>
      <c r="O979" s="64">
        <v>739076.25</v>
      </c>
    </row>
    <row r="980" spans="3:15" x14ac:dyDescent="0.25">
      <c r="C980" s="57"/>
      <c r="G980" s="64">
        <v>97689.2</v>
      </c>
      <c r="J980" s="64">
        <v>1483998.4</v>
      </c>
      <c r="M980" s="67" t="s">
        <v>255</v>
      </c>
      <c r="N980" s="67" t="s">
        <v>50</v>
      </c>
      <c r="O980" s="64">
        <v>1483998.4</v>
      </c>
    </row>
    <row r="981" spans="3:15" ht="15.75" x14ac:dyDescent="0.25">
      <c r="C981" s="56">
        <v>1257</v>
      </c>
      <c r="G981" s="65">
        <v>1257</v>
      </c>
      <c r="J981" s="64">
        <v>12408858.199999999</v>
      </c>
      <c r="M981" s="67" t="s">
        <v>255</v>
      </c>
      <c r="N981" s="67" t="s">
        <v>50</v>
      </c>
      <c r="O981" s="64">
        <v>12408858.199999999</v>
      </c>
    </row>
    <row r="982" spans="3:15" x14ac:dyDescent="0.25">
      <c r="C982" s="63"/>
      <c r="G982" s="65">
        <v>19775.7</v>
      </c>
      <c r="J982" s="64">
        <v>44980.5</v>
      </c>
      <c r="M982" s="67" t="s">
        <v>255</v>
      </c>
      <c r="N982" s="67" t="s">
        <v>11</v>
      </c>
      <c r="O982" s="64">
        <v>44980.5</v>
      </c>
    </row>
    <row r="983" spans="3:15" x14ac:dyDescent="0.25">
      <c r="C983" s="63"/>
      <c r="G983" s="65">
        <v>5703.04</v>
      </c>
      <c r="J983" s="64">
        <v>7276588.3799999999</v>
      </c>
      <c r="M983" s="67" t="s">
        <v>255</v>
      </c>
      <c r="N983" s="67" t="s">
        <v>50</v>
      </c>
      <c r="O983" s="64">
        <v>7276588.3799999999</v>
      </c>
    </row>
    <row r="984" spans="3:15" x14ac:dyDescent="0.25">
      <c r="C984" s="57"/>
      <c r="G984" s="64">
        <v>236614</v>
      </c>
      <c r="J984" s="64">
        <v>2795193.6</v>
      </c>
      <c r="M984" s="67" t="s">
        <v>255</v>
      </c>
      <c r="N984" s="67" t="s">
        <v>50</v>
      </c>
      <c r="O984" s="64">
        <v>2795193.6</v>
      </c>
    </row>
    <row r="985" spans="3:15" x14ac:dyDescent="0.25">
      <c r="C985" s="57"/>
      <c r="G985" s="64">
        <v>77420.800000000003</v>
      </c>
      <c r="J985" s="64">
        <v>93735</v>
      </c>
      <c r="M985" s="67" t="s">
        <v>256</v>
      </c>
      <c r="N985" s="67" t="s">
        <v>11</v>
      </c>
      <c r="O985" s="64">
        <v>93735</v>
      </c>
    </row>
    <row r="986" spans="3:15" x14ac:dyDescent="0.25">
      <c r="C986" s="57"/>
      <c r="G986" s="64">
        <v>8694.4</v>
      </c>
      <c r="J986" s="64">
        <v>5782.5</v>
      </c>
      <c r="M986" s="67" t="s">
        <v>256</v>
      </c>
      <c r="N986" s="67" t="s">
        <v>11</v>
      </c>
      <c r="O986" s="64">
        <v>5782.5</v>
      </c>
    </row>
    <row r="987" spans="3:15" x14ac:dyDescent="0.25">
      <c r="C987" s="57"/>
      <c r="G987" s="64">
        <v>19551</v>
      </c>
      <c r="J987" s="64">
        <v>40995.5</v>
      </c>
      <c r="M987" s="67" t="s">
        <v>256</v>
      </c>
      <c r="N987" s="67" t="s">
        <v>11</v>
      </c>
      <c r="O987" s="64">
        <v>40995.5</v>
      </c>
    </row>
    <row r="988" spans="3:15" ht="15.75" x14ac:dyDescent="0.25">
      <c r="C988" s="56">
        <v>3883.6</v>
      </c>
      <c r="G988" s="65">
        <v>3883.6</v>
      </c>
      <c r="J988" s="64">
        <v>45529.4</v>
      </c>
      <c r="M988" s="67" t="s">
        <v>256</v>
      </c>
      <c r="N988" s="67" t="s">
        <v>50</v>
      </c>
      <c r="O988" s="64">
        <v>45529.4</v>
      </c>
    </row>
    <row r="989" spans="3:15" x14ac:dyDescent="0.25">
      <c r="C989" s="63"/>
      <c r="G989" s="65">
        <v>8492.4</v>
      </c>
      <c r="J989" s="64">
        <v>3916506.2</v>
      </c>
      <c r="M989" s="67" t="s">
        <v>256</v>
      </c>
      <c r="N989" s="67" t="s">
        <v>50</v>
      </c>
      <c r="O989" s="64">
        <v>3916506.2</v>
      </c>
    </row>
    <row r="990" spans="3:15" x14ac:dyDescent="0.25">
      <c r="C990" s="63"/>
      <c r="G990" s="65">
        <v>118905.12</v>
      </c>
      <c r="J990" s="64">
        <v>283534.5</v>
      </c>
      <c r="M990" s="67" t="s">
        <v>256</v>
      </c>
      <c r="N990" s="67" t="s">
        <v>50</v>
      </c>
      <c r="O990" s="64">
        <v>283534.5</v>
      </c>
    </row>
    <row r="991" spans="3:15" x14ac:dyDescent="0.25">
      <c r="C991" s="63"/>
      <c r="G991" s="65">
        <v>99197.7</v>
      </c>
      <c r="J991" s="64">
        <v>94212.800000000003</v>
      </c>
      <c r="M991" s="67" t="s">
        <v>257</v>
      </c>
      <c r="N991" s="67" t="s">
        <v>11</v>
      </c>
      <c r="O991" s="64">
        <v>94212.800000000003</v>
      </c>
    </row>
    <row r="992" spans="3:15" ht="15.75" x14ac:dyDescent="0.25">
      <c r="C992" s="56">
        <v>17635.8</v>
      </c>
      <c r="G992" s="65">
        <v>17635.8</v>
      </c>
      <c r="J992" s="64">
        <v>97320.8</v>
      </c>
      <c r="M992" s="67" t="s">
        <v>257</v>
      </c>
      <c r="N992" s="67" t="s">
        <v>50</v>
      </c>
      <c r="O992" s="64">
        <v>97320.8</v>
      </c>
    </row>
    <row r="993" spans="3:15" x14ac:dyDescent="0.25">
      <c r="C993" s="57"/>
      <c r="G993" s="64">
        <v>7336</v>
      </c>
      <c r="J993" s="64">
        <v>117543.88</v>
      </c>
      <c r="M993" s="67" t="s">
        <v>257</v>
      </c>
      <c r="N993" s="67" t="s">
        <v>50</v>
      </c>
      <c r="O993" s="64">
        <v>117543.88</v>
      </c>
    </row>
    <row r="994" spans="3:15" x14ac:dyDescent="0.25">
      <c r="C994" s="57"/>
      <c r="G994" s="64">
        <v>64681.599999999999</v>
      </c>
      <c r="J994" s="64">
        <v>63441</v>
      </c>
      <c r="M994" s="67" t="s">
        <v>257</v>
      </c>
      <c r="N994" s="67" t="s">
        <v>50</v>
      </c>
      <c r="O994" s="64">
        <v>63441</v>
      </c>
    </row>
    <row r="995" spans="3:15" x14ac:dyDescent="0.25">
      <c r="C995" s="63"/>
      <c r="G995" s="65">
        <v>2053.5</v>
      </c>
      <c r="J995" s="64">
        <v>9150</v>
      </c>
      <c r="M995" s="67" t="s">
        <v>257</v>
      </c>
      <c r="N995" s="67" t="s">
        <v>50</v>
      </c>
      <c r="O995" s="64">
        <v>9150</v>
      </c>
    </row>
    <row r="996" spans="3:15" ht="15.75" x14ac:dyDescent="0.25">
      <c r="C996" s="56">
        <v>4227.2</v>
      </c>
      <c r="G996" s="64">
        <v>4227.2</v>
      </c>
      <c r="J996" s="64">
        <v>14020.8</v>
      </c>
      <c r="M996" s="67" t="s">
        <v>258</v>
      </c>
      <c r="N996" s="67" t="s">
        <v>50</v>
      </c>
      <c r="O996" s="64">
        <v>14020.8</v>
      </c>
    </row>
    <row r="997" spans="3:15" x14ac:dyDescent="0.25">
      <c r="C997" s="57"/>
      <c r="G997" s="64">
        <v>94498.6</v>
      </c>
      <c r="J997" s="64">
        <v>806658.94</v>
      </c>
      <c r="M997" s="67" t="s">
        <v>258</v>
      </c>
      <c r="N997" s="67" t="s">
        <v>50</v>
      </c>
      <c r="O997" s="64">
        <v>806658.94</v>
      </c>
    </row>
    <row r="998" spans="3:15" x14ac:dyDescent="0.25">
      <c r="C998" s="57"/>
      <c r="G998" s="64">
        <v>46936</v>
      </c>
      <c r="J998" s="64">
        <v>11408</v>
      </c>
      <c r="M998" s="67" t="s">
        <v>258</v>
      </c>
      <c r="N998" s="67" t="s">
        <v>50</v>
      </c>
      <c r="O998" s="64">
        <v>11408</v>
      </c>
    </row>
    <row r="999" spans="3:15" x14ac:dyDescent="0.25">
      <c r="C999" s="63"/>
      <c r="G999" s="65">
        <v>24089.8</v>
      </c>
      <c r="J999" s="64">
        <v>11407</v>
      </c>
      <c r="M999" s="67" t="s">
        <v>258</v>
      </c>
      <c r="N999" s="67" t="s">
        <v>50</v>
      </c>
      <c r="O999" s="64">
        <v>11407</v>
      </c>
    </row>
    <row r="1000" spans="3:15" x14ac:dyDescent="0.25">
      <c r="C1000" s="63"/>
      <c r="G1000" s="65">
        <v>8901.9</v>
      </c>
      <c r="J1000" s="64">
        <v>88029</v>
      </c>
      <c r="M1000" s="67" t="s">
        <v>258</v>
      </c>
      <c r="N1000" s="67" t="s">
        <v>11</v>
      </c>
      <c r="O1000" s="64">
        <v>88029</v>
      </c>
    </row>
    <row r="1001" spans="3:15" x14ac:dyDescent="0.25">
      <c r="C1001" s="63"/>
      <c r="G1001" s="65">
        <v>5695.5</v>
      </c>
      <c r="J1001" s="64">
        <v>11450202.9</v>
      </c>
      <c r="M1001" s="67" t="s">
        <v>258</v>
      </c>
      <c r="N1001" s="67" t="s">
        <v>50</v>
      </c>
      <c r="O1001" s="64">
        <v>11450202.9</v>
      </c>
    </row>
    <row r="1002" spans="3:15" x14ac:dyDescent="0.25">
      <c r="C1002" s="63"/>
      <c r="G1002" s="65">
        <v>146933.70000000001</v>
      </c>
      <c r="J1002" s="64">
        <v>12672</v>
      </c>
      <c r="M1002" s="67" t="s">
        <v>259</v>
      </c>
      <c r="N1002" s="67" t="s">
        <v>50</v>
      </c>
      <c r="O1002" s="64">
        <v>12672</v>
      </c>
    </row>
    <row r="1003" spans="3:15" ht="15.75" x14ac:dyDescent="0.25">
      <c r="C1003" s="56">
        <v>18649.55</v>
      </c>
      <c r="G1003" s="64">
        <v>18649.55</v>
      </c>
      <c r="J1003" s="64">
        <v>7193.55</v>
      </c>
      <c r="M1003" s="67" t="s">
        <v>259</v>
      </c>
      <c r="N1003" s="67" t="s">
        <v>50</v>
      </c>
      <c r="O1003" s="64">
        <v>7193.55</v>
      </c>
    </row>
    <row r="1004" spans="3:15" x14ac:dyDescent="0.25">
      <c r="C1004" s="57"/>
      <c r="G1004" s="64">
        <v>18649.55</v>
      </c>
      <c r="J1004" s="64">
        <v>213107.04</v>
      </c>
      <c r="M1004" s="67" t="s">
        <v>259</v>
      </c>
      <c r="N1004" s="67" t="s">
        <v>50</v>
      </c>
      <c r="O1004" s="64">
        <v>213107.04</v>
      </c>
    </row>
    <row r="1005" spans="3:15" x14ac:dyDescent="0.25">
      <c r="C1005" s="63"/>
      <c r="G1005" s="65">
        <v>4950.6400000000003</v>
      </c>
      <c r="J1005" s="64">
        <v>12531395.1</v>
      </c>
      <c r="M1005" s="67" t="s">
        <v>259</v>
      </c>
      <c r="N1005" s="67" t="s">
        <v>50</v>
      </c>
      <c r="O1005" s="64">
        <v>12531395.1</v>
      </c>
    </row>
    <row r="1006" spans="3:15" x14ac:dyDescent="0.25">
      <c r="C1006" s="63"/>
      <c r="G1006" s="65">
        <v>274598.40000000002</v>
      </c>
      <c r="J1006" s="64">
        <v>329076.8</v>
      </c>
      <c r="M1006" s="67" t="s">
        <v>260</v>
      </c>
      <c r="N1006" s="67" t="s">
        <v>50</v>
      </c>
      <c r="O1006" s="64">
        <v>329076.8</v>
      </c>
    </row>
    <row r="1007" spans="3:15" x14ac:dyDescent="0.25">
      <c r="C1007" s="57"/>
      <c r="G1007" s="64">
        <v>599923.30000000005</v>
      </c>
      <c r="J1007" s="64">
        <v>4454244</v>
      </c>
      <c r="M1007" s="67" t="s">
        <v>260</v>
      </c>
      <c r="N1007" s="67" t="s">
        <v>50</v>
      </c>
      <c r="O1007" s="64">
        <v>4454244</v>
      </c>
    </row>
    <row r="1008" spans="3:15" x14ac:dyDescent="0.25">
      <c r="C1008" s="63"/>
      <c r="G1008" s="65">
        <v>6388.56</v>
      </c>
      <c r="J1008" s="64">
        <v>16837.2</v>
      </c>
      <c r="M1008" s="67" t="s">
        <v>260</v>
      </c>
      <c r="N1008" s="67" t="s">
        <v>50</v>
      </c>
      <c r="O1008" s="64">
        <v>16837.2</v>
      </c>
    </row>
    <row r="1009" spans="3:15" x14ac:dyDescent="0.25">
      <c r="C1009" s="57"/>
      <c r="G1009" s="64">
        <v>410121.25</v>
      </c>
      <c r="J1009" s="64">
        <v>4272709.24</v>
      </c>
      <c r="M1009" s="67" t="s">
        <v>260</v>
      </c>
      <c r="N1009" s="67" t="s">
        <v>50</v>
      </c>
      <c r="O1009" s="64">
        <v>4272709.24</v>
      </c>
    </row>
    <row r="1010" spans="3:15" x14ac:dyDescent="0.25">
      <c r="C1010" s="57"/>
      <c r="G1010" s="64">
        <v>712583.04</v>
      </c>
      <c r="J1010" s="64">
        <v>234396</v>
      </c>
      <c r="M1010" s="67" t="s">
        <v>260</v>
      </c>
      <c r="N1010" s="67" t="s">
        <v>50</v>
      </c>
      <c r="O1010" s="64">
        <v>234396</v>
      </c>
    </row>
    <row r="1011" spans="3:15" x14ac:dyDescent="0.25">
      <c r="C1011" s="57"/>
      <c r="G1011" s="64">
        <v>652315.97</v>
      </c>
      <c r="J1011" s="64">
        <v>667911.76</v>
      </c>
      <c r="M1011" s="67" t="s">
        <v>260</v>
      </c>
      <c r="N1011" s="67" t="s">
        <v>50</v>
      </c>
      <c r="O1011" s="64">
        <v>667911.76</v>
      </c>
    </row>
    <row r="1012" spans="3:15" x14ac:dyDescent="0.25">
      <c r="C1012" s="57"/>
      <c r="G1012" s="64">
        <v>9005.64</v>
      </c>
      <c r="J1012" s="64">
        <v>59166.2</v>
      </c>
      <c r="M1012" s="67" t="s">
        <v>261</v>
      </c>
      <c r="N1012" s="67" t="s">
        <v>50</v>
      </c>
      <c r="O1012" s="64">
        <v>59166.2</v>
      </c>
    </row>
    <row r="1013" spans="3:15" ht="15.75" x14ac:dyDescent="0.25">
      <c r="C1013" s="56">
        <v>104766</v>
      </c>
      <c r="G1013" s="64">
        <v>104766</v>
      </c>
      <c r="J1013" s="64">
        <v>699903.7</v>
      </c>
      <c r="M1013" s="67" t="s">
        <v>261</v>
      </c>
      <c r="N1013" s="67" t="s">
        <v>50</v>
      </c>
      <c r="O1013" s="64">
        <v>699903.7</v>
      </c>
    </row>
    <row r="1014" spans="3:15" x14ac:dyDescent="0.25">
      <c r="C1014" s="63"/>
      <c r="G1014" s="65">
        <v>229917.8</v>
      </c>
      <c r="J1014" s="64">
        <v>971820.48</v>
      </c>
      <c r="M1014" s="67" t="s">
        <v>261</v>
      </c>
      <c r="N1014" s="67" t="s">
        <v>50</v>
      </c>
      <c r="O1014" s="64">
        <v>971820.48</v>
      </c>
    </row>
    <row r="1015" spans="3:15" ht="15.75" x14ac:dyDescent="0.25">
      <c r="C1015" s="56">
        <v>75683.47</v>
      </c>
      <c r="G1015" s="65">
        <v>75683.47</v>
      </c>
      <c r="J1015" s="64">
        <v>12217</v>
      </c>
      <c r="M1015" s="67" t="s">
        <v>262</v>
      </c>
      <c r="N1015" s="67" t="s">
        <v>11</v>
      </c>
      <c r="O1015" s="64">
        <v>12217</v>
      </c>
    </row>
    <row r="1016" spans="3:15" x14ac:dyDescent="0.25">
      <c r="C1016" s="63"/>
      <c r="G1016" s="65">
        <v>47061</v>
      </c>
      <c r="J1016" s="64">
        <v>88227.199999999997</v>
      </c>
      <c r="M1016" s="67" t="s">
        <v>262</v>
      </c>
      <c r="N1016" s="67" t="s">
        <v>11</v>
      </c>
      <c r="O1016" s="64">
        <v>88227.199999999997</v>
      </c>
    </row>
    <row r="1017" spans="3:15" x14ac:dyDescent="0.25">
      <c r="C1017" s="57"/>
      <c r="G1017" s="64">
        <v>2319.6</v>
      </c>
      <c r="J1017" s="64">
        <v>561194.25</v>
      </c>
      <c r="M1017" s="67" t="s">
        <v>263</v>
      </c>
      <c r="N1017" s="67" t="s">
        <v>50</v>
      </c>
      <c r="O1017" s="64">
        <v>561194.25</v>
      </c>
    </row>
    <row r="1018" spans="3:15" x14ac:dyDescent="0.25">
      <c r="C1018" s="57"/>
      <c r="G1018" s="64">
        <v>29962.400000000001</v>
      </c>
      <c r="J1018" s="64">
        <v>265678.5</v>
      </c>
      <c r="M1018" s="67" t="s">
        <v>263</v>
      </c>
      <c r="N1018" s="67" t="s">
        <v>50</v>
      </c>
      <c r="O1018" s="64">
        <v>265678.5</v>
      </c>
    </row>
    <row r="1019" spans="3:15" x14ac:dyDescent="0.25">
      <c r="C1019" s="57"/>
      <c r="G1019" s="64">
        <v>13486</v>
      </c>
      <c r="J1019" s="64">
        <v>94696</v>
      </c>
      <c r="M1019" s="67" t="s">
        <v>263</v>
      </c>
      <c r="N1019" s="67" t="s">
        <v>50</v>
      </c>
      <c r="O1019" s="64">
        <v>94696</v>
      </c>
    </row>
    <row r="1020" spans="3:15" x14ac:dyDescent="0.25">
      <c r="C1020" s="57"/>
      <c r="G1020" s="64">
        <v>7848.9</v>
      </c>
      <c r="J1020" s="64">
        <v>124044</v>
      </c>
      <c r="M1020" s="67" t="s">
        <v>263</v>
      </c>
      <c r="N1020" s="67" t="s">
        <v>50</v>
      </c>
      <c r="O1020" s="64">
        <v>124044</v>
      </c>
    </row>
    <row r="1021" spans="3:15" ht="15.75" x14ac:dyDescent="0.25">
      <c r="C1021" s="56">
        <v>54152</v>
      </c>
      <c r="G1021" s="64">
        <v>54152</v>
      </c>
      <c r="J1021" s="64">
        <v>90426.7</v>
      </c>
      <c r="M1021" s="67" t="s">
        <v>263</v>
      </c>
      <c r="N1021" s="67" t="s">
        <v>50</v>
      </c>
      <c r="O1021" s="64">
        <v>90426.7</v>
      </c>
    </row>
    <row r="1022" spans="3:15" ht="15.75" x14ac:dyDescent="0.25">
      <c r="C1022" s="56">
        <v>57288</v>
      </c>
      <c r="G1022" s="64">
        <v>57288</v>
      </c>
      <c r="J1022" s="64">
        <v>15121.8</v>
      </c>
      <c r="M1022" s="67" t="s">
        <v>264</v>
      </c>
      <c r="N1022" s="67" t="s">
        <v>50</v>
      </c>
      <c r="O1022" s="64">
        <v>15121.8</v>
      </c>
    </row>
    <row r="1023" spans="3:15" x14ac:dyDescent="0.25">
      <c r="C1023" s="57"/>
      <c r="G1023" s="64">
        <v>17403</v>
      </c>
      <c r="J1023" s="64">
        <v>30668.400000000001</v>
      </c>
      <c r="M1023" s="67" t="s">
        <v>264</v>
      </c>
      <c r="N1023" s="67" t="s">
        <v>11</v>
      </c>
      <c r="O1023" s="64">
        <v>30668.400000000001</v>
      </c>
    </row>
    <row r="1024" spans="3:15" x14ac:dyDescent="0.25">
      <c r="C1024" s="57"/>
      <c r="G1024" s="64">
        <v>3585.6</v>
      </c>
      <c r="J1024" s="64">
        <v>510316</v>
      </c>
      <c r="M1024" s="67" t="s">
        <v>264</v>
      </c>
      <c r="N1024" s="67" t="s">
        <v>50</v>
      </c>
      <c r="O1024" s="64">
        <v>510316</v>
      </c>
    </row>
    <row r="1025" spans="3:15" x14ac:dyDescent="0.25">
      <c r="C1025" s="63"/>
      <c r="G1025" s="65">
        <v>12223.4</v>
      </c>
      <c r="J1025" s="64">
        <v>1594559.25</v>
      </c>
      <c r="M1025" s="67" t="s">
        <v>264</v>
      </c>
      <c r="N1025" s="67" t="s">
        <v>50</v>
      </c>
      <c r="O1025" s="64">
        <v>1594559.25</v>
      </c>
    </row>
    <row r="1026" spans="3:15" x14ac:dyDescent="0.25">
      <c r="C1026" s="63"/>
      <c r="G1026" s="65">
        <v>22116.5</v>
      </c>
      <c r="J1026" s="64">
        <v>1540532.5</v>
      </c>
      <c r="M1026" s="67" t="s">
        <v>264</v>
      </c>
      <c r="N1026" s="67" t="s">
        <v>50</v>
      </c>
      <c r="O1026" s="64">
        <v>1540532.5</v>
      </c>
    </row>
    <row r="1027" spans="3:15" ht="15.75" x14ac:dyDescent="0.25">
      <c r="C1027" s="56">
        <v>5502</v>
      </c>
      <c r="G1027" s="65">
        <v>5502</v>
      </c>
      <c r="J1027" s="64">
        <v>731173.75</v>
      </c>
      <c r="M1027" s="67" t="s">
        <v>264</v>
      </c>
      <c r="N1027" s="67" t="s">
        <v>50</v>
      </c>
      <c r="O1027" s="64">
        <v>731173.75</v>
      </c>
    </row>
    <row r="1028" spans="3:15" x14ac:dyDescent="0.25">
      <c r="C1028" s="57"/>
      <c r="G1028" s="64">
        <v>173904</v>
      </c>
      <c r="J1028" s="64">
        <v>528183.75</v>
      </c>
      <c r="M1028" s="67" t="s">
        <v>264</v>
      </c>
      <c r="N1028" s="67" t="s">
        <v>50</v>
      </c>
      <c r="O1028" s="64">
        <v>528183.75</v>
      </c>
    </row>
    <row r="1029" spans="3:15" x14ac:dyDescent="0.25">
      <c r="C1029" s="63"/>
      <c r="G1029" s="65">
        <v>523122.5</v>
      </c>
      <c r="J1029" s="64">
        <v>388596</v>
      </c>
      <c r="M1029" s="67" t="s">
        <v>265</v>
      </c>
      <c r="N1029" s="67" t="s">
        <v>50</v>
      </c>
      <c r="O1029" s="64">
        <v>388596</v>
      </c>
    </row>
    <row r="1030" spans="3:15" x14ac:dyDescent="0.25">
      <c r="C1030" s="63"/>
      <c r="G1030" s="65">
        <v>245845.6</v>
      </c>
      <c r="J1030" s="64">
        <v>173456</v>
      </c>
      <c r="M1030" s="67" t="s">
        <v>265</v>
      </c>
      <c r="N1030" s="67" t="s">
        <v>50</v>
      </c>
      <c r="O1030" s="64">
        <v>173456</v>
      </c>
    </row>
    <row r="1031" spans="3:15" x14ac:dyDescent="0.25">
      <c r="C1031" s="57"/>
      <c r="G1031" s="64">
        <v>37555.4</v>
      </c>
      <c r="J1031" s="64">
        <v>162660</v>
      </c>
      <c r="M1031" s="67" t="s">
        <v>265</v>
      </c>
      <c r="N1031" s="67" t="s">
        <v>50</v>
      </c>
      <c r="O1031" s="64">
        <v>162660</v>
      </c>
    </row>
    <row r="1032" spans="3:15" ht="15.75" x14ac:dyDescent="0.25">
      <c r="C1032" s="56">
        <v>24412.75</v>
      </c>
      <c r="G1032" s="65">
        <v>22376.7</v>
      </c>
      <c r="J1032" s="64">
        <v>280208</v>
      </c>
      <c r="M1032" s="67" t="s">
        <v>265</v>
      </c>
      <c r="N1032" s="67" t="s">
        <v>50</v>
      </c>
      <c r="O1032" s="64">
        <v>280208</v>
      </c>
    </row>
    <row r="1033" spans="3:15" x14ac:dyDescent="0.25">
      <c r="C1033" s="57"/>
      <c r="G1033" s="64">
        <v>621285</v>
      </c>
      <c r="J1033" s="64">
        <v>13552.5</v>
      </c>
      <c r="M1033" s="67" t="s">
        <v>266</v>
      </c>
      <c r="N1033" s="67" t="s">
        <v>11</v>
      </c>
      <c r="O1033" s="64">
        <v>13552.5</v>
      </c>
    </row>
    <row r="1034" spans="3:15" ht="15.75" x14ac:dyDescent="0.25">
      <c r="C1034" s="56">
        <v>1308.1500000000001</v>
      </c>
      <c r="G1034" s="65">
        <v>1308.1500000000001</v>
      </c>
      <c r="J1034" s="64">
        <v>16584</v>
      </c>
      <c r="M1034" s="67" t="s">
        <v>266</v>
      </c>
      <c r="N1034" s="67" t="s">
        <v>50</v>
      </c>
      <c r="O1034" s="64">
        <v>16584</v>
      </c>
    </row>
    <row r="1035" spans="3:15" x14ac:dyDescent="0.25">
      <c r="C1035" s="63"/>
      <c r="G1035" s="65">
        <v>48179.6</v>
      </c>
      <c r="J1035" s="64">
        <v>1135000</v>
      </c>
      <c r="M1035" s="67" t="s">
        <v>266</v>
      </c>
      <c r="N1035" s="67" t="s">
        <v>50</v>
      </c>
      <c r="O1035" s="64">
        <v>1135000</v>
      </c>
    </row>
    <row r="1036" spans="3:15" x14ac:dyDescent="0.25">
      <c r="C1036" s="57"/>
      <c r="G1036" s="64">
        <v>154156.79999999999</v>
      </c>
      <c r="J1036" s="64">
        <v>354687.5</v>
      </c>
      <c r="M1036" s="67" t="s">
        <v>266</v>
      </c>
      <c r="N1036" s="67" t="s">
        <v>50</v>
      </c>
      <c r="O1036" s="64">
        <v>354687.5</v>
      </c>
    </row>
    <row r="1037" spans="3:15" x14ac:dyDescent="0.25">
      <c r="C1037" s="63"/>
      <c r="G1037" s="65">
        <v>54664.32</v>
      </c>
      <c r="J1037" s="64">
        <v>42954</v>
      </c>
      <c r="M1037" s="67" t="s">
        <v>267</v>
      </c>
      <c r="N1037" s="67" t="s">
        <v>50</v>
      </c>
      <c r="O1037" s="64">
        <v>42954</v>
      </c>
    </row>
    <row r="1038" spans="3:15" ht="15.75" x14ac:dyDescent="0.25">
      <c r="C1038" s="56">
        <v>4852.8</v>
      </c>
      <c r="G1038" s="65">
        <v>4852.8</v>
      </c>
      <c r="J1038" s="16">
        <f>SUM(J1:J1037)</f>
        <v>858793539.96000028</v>
      </c>
      <c r="M1038" s="67" t="s">
        <v>267</v>
      </c>
      <c r="N1038" s="67" t="s">
        <v>50</v>
      </c>
      <c r="O1038" s="64">
        <v>31384.799999999999</v>
      </c>
    </row>
    <row r="1039" spans="3:15" x14ac:dyDescent="0.25">
      <c r="C1039" s="57"/>
      <c r="G1039" s="64">
        <v>479878.7</v>
      </c>
      <c r="O1039">
        <f>SUBTOTAL(9,O16:O1033)</f>
        <v>851602168.66000044</v>
      </c>
    </row>
    <row r="1040" spans="3:15" x14ac:dyDescent="0.25">
      <c r="C1040" s="57"/>
      <c r="G1040" s="64">
        <v>3137.4</v>
      </c>
    </row>
    <row r="1041" spans="3:7" x14ac:dyDescent="0.25">
      <c r="C1041" s="63"/>
      <c r="G1041" s="65">
        <v>194261.2</v>
      </c>
    </row>
    <row r="1042" spans="3:7" x14ac:dyDescent="0.25">
      <c r="C1042" s="57"/>
      <c r="G1042" s="64">
        <v>430539.6</v>
      </c>
    </row>
    <row r="1043" spans="3:7" x14ac:dyDescent="0.25">
      <c r="C1043" s="63"/>
      <c r="G1043" s="65">
        <v>12838</v>
      </c>
    </row>
    <row r="1044" spans="3:7" x14ac:dyDescent="0.25">
      <c r="C1044" s="57"/>
      <c r="G1044" s="64">
        <v>3137.4</v>
      </c>
    </row>
    <row r="1045" spans="3:7" x14ac:dyDescent="0.25">
      <c r="C1045" s="63"/>
      <c r="G1045" s="65">
        <v>261225.5</v>
      </c>
    </row>
    <row r="1046" spans="3:7" x14ac:dyDescent="0.25">
      <c r="C1046" s="57"/>
      <c r="G1046" s="64">
        <v>222341.25</v>
      </c>
    </row>
    <row r="1047" spans="3:7" ht="15.75" x14ac:dyDescent="0.25">
      <c r="C1047" s="56">
        <v>157294.70000000001</v>
      </c>
      <c r="G1047" s="64">
        <v>157294.70000000001</v>
      </c>
    </row>
    <row r="1048" spans="3:7" x14ac:dyDescent="0.25">
      <c r="C1048" s="57"/>
      <c r="G1048" s="64">
        <v>195352.5</v>
      </c>
    </row>
    <row r="1049" spans="3:7" x14ac:dyDescent="0.25">
      <c r="C1049" s="57"/>
      <c r="G1049" s="64">
        <v>208137</v>
      </c>
    </row>
    <row r="1050" spans="3:7" x14ac:dyDescent="0.25">
      <c r="C1050" s="57"/>
      <c r="G1050" s="64">
        <v>18676.8</v>
      </c>
    </row>
    <row r="1051" spans="3:7" x14ac:dyDescent="0.25">
      <c r="C1051" s="63"/>
      <c r="G1051" s="65">
        <v>24637.200000000001</v>
      </c>
    </row>
    <row r="1052" spans="3:7" x14ac:dyDescent="0.25">
      <c r="C1052" s="63"/>
      <c r="G1052" s="65">
        <v>7767.2</v>
      </c>
    </row>
    <row r="1053" spans="3:7" x14ac:dyDescent="0.25">
      <c r="C1053" s="63"/>
      <c r="G1053" s="65">
        <v>136710</v>
      </c>
    </row>
    <row r="1054" spans="3:7" x14ac:dyDescent="0.25">
      <c r="C1054" s="57"/>
      <c r="G1054" s="64">
        <v>84321.02</v>
      </c>
    </row>
    <row r="1055" spans="3:7" x14ac:dyDescent="0.25">
      <c r="C1055" s="57"/>
      <c r="G1055" s="64">
        <v>468089.2</v>
      </c>
    </row>
    <row r="1056" spans="3:7" x14ac:dyDescent="0.25">
      <c r="C1056" s="57"/>
      <c r="G1056" s="64">
        <v>12084733.640000001</v>
      </c>
    </row>
    <row r="1057" spans="3:7" x14ac:dyDescent="0.25">
      <c r="C1057" s="57"/>
      <c r="G1057" s="64">
        <v>533076.19999999995</v>
      </c>
    </row>
    <row r="1058" spans="3:7" x14ac:dyDescent="0.25">
      <c r="C1058" s="57"/>
      <c r="G1058" s="64">
        <v>62918.78</v>
      </c>
    </row>
    <row r="1059" spans="3:7" x14ac:dyDescent="0.25">
      <c r="C1059" s="57"/>
      <c r="G1059" s="64">
        <v>1765732.5</v>
      </c>
    </row>
    <row r="1060" spans="3:7" x14ac:dyDescent="0.25">
      <c r="C1060" s="57"/>
      <c r="G1060" s="64">
        <v>225851.9</v>
      </c>
    </row>
    <row r="1061" spans="3:7" x14ac:dyDescent="0.25">
      <c r="C1061" s="57"/>
      <c r="G1061" s="64">
        <v>853696.2</v>
      </c>
    </row>
    <row r="1062" spans="3:7" x14ac:dyDescent="0.25">
      <c r="C1062" s="57"/>
      <c r="G1062" s="64">
        <v>3862015.8</v>
      </c>
    </row>
    <row r="1063" spans="3:7" x14ac:dyDescent="0.25">
      <c r="C1063" s="57"/>
      <c r="G1063" s="64">
        <v>8946.15</v>
      </c>
    </row>
    <row r="1064" spans="3:7" x14ac:dyDescent="0.25">
      <c r="C1064" s="57"/>
      <c r="G1064" s="64">
        <v>7910.4</v>
      </c>
    </row>
    <row r="1065" spans="3:7" x14ac:dyDescent="0.25">
      <c r="C1065" s="63"/>
      <c r="G1065" s="65">
        <v>7514.88</v>
      </c>
    </row>
    <row r="1066" spans="3:7" ht="15.75" x14ac:dyDescent="0.25">
      <c r="C1066" s="56">
        <v>338623.5</v>
      </c>
      <c r="G1066" s="65">
        <v>338623.5</v>
      </c>
    </row>
    <row r="1067" spans="3:7" x14ac:dyDescent="0.25">
      <c r="C1067" s="57"/>
      <c r="G1067" s="64">
        <v>67173.399999999994</v>
      </c>
    </row>
    <row r="1068" spans="3:7" x14ac:dyDescent="0.25">
      <c r="C1068" s="57"/>
      <c r="G1068" s="64">
        <v>28556.25</v>
      </c>
    </row>
    <row r="1069" spans="3:7" x14ac:dyDescent="0.25">
      <c r="C1069" s="57"/>
      <c r="G1069" s="64">
        <v>1190729.3999999999</v>
      </c>
    </row>
    <row r="1070" spans="3:7" x14ac:dyDescent="0.25">
      <c r="C1070" s="63"/>
      <c r="G1070" s="65">
        <v>5825.4</v>
      </c>
    </row>
    <row r="1071" spans="3:7" x14ac:dyDescent="0.25">
      <c r="C1071" s="63"/>
      <c r="G1071" s="65">
        <v>35196</v>
      </c>
    </row>
    <row r="1072" spans="3:7" x14ac:dyDescent="0.25">
      <c r="C1072" s="57"/>
      <c r="G1072" s="64">
        <v>9553.2000000000007</v>
      </c>
    </row>
    <row r="1073" spans="3:7" x14ac:dyDescent="0.25">
      <c r="C1073" s="62"/>
      <c r="G1073" s="66">
        <v>25368</v>
      </c>
    </row>
    <row r="1074" spans="3:7" x14ac:dyDescent="0.25">
      <c r="C1074" s="57"/>
      <c r="G1074" s="64">
        <v>57577.4</v>
      </c>
    </row>
    <row r="1075" spans="3:7" x14ac:dyDescent="0.25">
      <c r="C1075" s="57"/>
      <c r="G1075" s="64">
        <v>9980.7000000000007</v>
      </c>
    </row>
    <row r="1076" spans="3:7" x14ac:dyDescent="0.25">
      <c r="C1076" s="57"/>
      <c r="G1076" s="64">
        <v>27580.400000000001</v>
      </c>
    </row>
    <row r="1077" spans="3:7" x14ac:dyDescent="0.25">
      <c r="C1077" s="57"/>
      <c r="G1077" s="64">
        <v>1568133</v>
      </c>
    </row>
    <row r="1078" spans="3:7" x14ac:dyDescent="0.25">
      <c r="C1078" s="57"/>
      <c r="G1078" s="64">
        <v>533766</v>
      </c>
    </row>
    <row r="1079" spans="3:7" x14ac:dyDescent="0.25">
      <c r="C1079" s="57"/>
      <c r="G1079" s="64">
        <v>29203.4</v>
      </c>
    </row>
    <row r="1080" spans="3:7" x14ac:dyDescent="0.25">
      <c r="C1080" s="63"/>
      <c r="G1080" s="65">
        <v>8582</v>
      </c>
    </row>
    <row r="1081" spans="3:7" x14ac:dyDescent="0.25">
      <c r="C1081" s="63"/>
      <c r="G1081" s="65">
        <v>15297</v>
      </c>
    </row>
    <row r="1082" spans="3:7" x14ac:dyDescent="0.25">
      <c r="C1082" s="63"/>
      <c r="G1082" s="65">
        <v>129196.5</v>
      </c>
    </row>
    <row r="1083" spans="3:7" ht="15.75" x14ac:dyDescent="0.25">
      <c r="C1083" s="56">
        <v>17388</v>
      </c>
      <c r="G1083" s="64">
        <v>17388</v>
      </c>
    </row>
    <row r="1084" spans="3:7" x14ac:dyDescent="0.25">
      <c r="C1084" s="57"/>
      <c r="G1084" s="64">
        <v>46935</v>
      </c>
    </row>
    <row r="1085" spans="3:7" x14ac:dyDescent="0.25">
      <c r="C1085" s="57"/>
      <c r="G1085" s="64">
        <v>80421</v>
      </c>
    </row>
    <row r="1086" spans="3:7" x14ac:dyDescent="0.25">
      <c r="C1086" s="63"/>
      <c r="G1086" s="65">
        <v>168317.1</v>
      </c>
    </row>
    <row r="1087" spans="3:7" x14ac:dyDescent="0.25">
      <c r="C1087" s="57"/>
      <c r="G1087" s="64">
        <v>48339.6</v>
      </c>
    </row>
    <row r="1088" spans="3:7" x14ac:dyDescent="0.25">
      <c r="C1088" s="57"/>
      <c r="G1088" s="64">
        <v>965512.1</v>
      </c>
    </row>
    <row r="1089" spans="3:7" x14ac:dyDescent="0.25">
      <c r="C1089" s="57"/>
      <c r="G1089" s="64">
        <v>316120.3</v>
      </c>
    </row>
    <row r="1090" spans="3:7" x14ac:dyDescent="0.25">
      <c r="C1090" s="57"/>
      <c r="G1090" s="64">
        <v>163597.5</v>
      </c>
    </row>
    <row r="1091" spans="3:7" x14ac:dyDescent="0.25">
      <c r="C1091" s="64">
        <f>SUM(C1:C1090)</f>
        <v>61218758.940000005</v>
      </c>
      <c r="G1091" s="64">
        <v>55774.12</v>
      </c>
    </row>
    <row r="1092" spans="3:7" x14ac:dyDescent="0.25">
      <c r="G1092" s="64">
        <v>30673.5</v>
      </c>
    </row>
    <row r="1093" spans="3:7" x14ac:dyDescent="0.25">
      <c r="G1093" s="16">
        <f>SUM(G1:G1092)</f>
        <v>181927911.42999998</v>
      </c>
    </row>
  </sheetData>
  <autoFilter ref="M1:O1038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3:B6"/>
  <sheetViews>
    <sheetView topLeftCell="A4" workbookViewId="0">
      <selection activeCell="Z31" sqref="Z31"/>
    </sheetView>
  </sheetViews>
  <sheetFormatPr defaultRowHeight="15" x14ac:dyDescent="0.25"/>
  <cols>
    <col min="1" max="1" width="17.28515625" customWidth="1"/>
    <col min="2" max="2" width="40.28515625" customWidth="1"/>
    <col min="3" max="3" width="48" bestFit="1" customWidth="1"/>
    <col min="4" max="9" width="12" customWidth="1"/>
    <col min="10" max="11" width="12" bestFit="1" customWidth="1"/>
  </cols>
  <sheetData>
    <row r="3" spans="1:2" x14ac:dyDescent="0.25">
      <c r="A3" s="83" t="s">
        <v>276</v>
      </c>
      <c r="B3" t="s">
        <v>279</v>
      </c>
    </row>
    <row r="4" spans="1:2" x14ac:dyDescent="0.25">
      <c r="A4" s="84" t="s">
        <v>275</v>
      </c>
      <c r="B4" s="34">
        <v>55543660.489999987</v>
      </c>
    </row>
    <row r="5" spans="1:2" x14ac:dyDescent="0.25">
      <c r="A5" s="84" t="s">
        <v>273</v>
      </c>
      <c r="B5" s="34">
        <v>61218758.940000005</v>
      </c>
    </row>
    <row r="6" spans="1:2" x14ac:dyDescent="0.25">
      <c r="A6" s="84" t="s">
        <v>277</v>
      </c>
      <c r="B6" s="34">
        <v>116762419.42999999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0"/>
  <dimension ref="A1:E8"/>
  <sheetViews>
    <sheetView workbookViewId="0">
      <selection activeCell="D4" sqref="D4"/>
    </sheetView>
  </sheetViews>
  <sheetFormatPr defaultRowHeight="15" x14ac:dyDescent="0.25"/>
  <cols>
    <col min="1" max="1" width="22" customWidth="1"/>
    <col min="2" max="2" width="22.42578125" customWidth="1"/>
    <col min="3" max="3" width="22.5703125" customWidth="1"/>
    <col min="4" max="4" width="28.42578125" customWidth="1"/>
    <col min="5" max="5" width="17.7109375" customWidth="1"/>
  </cols>
  <sheetData>
    <row r="1" spans="1:5" ht="41.25" customHeight="1" x14ac:dyDescent="0.25">
      <c r="A1" s="21"/>
      <c r="B1" s="22" t="s">
        <v>0</v>
      </c>
      <c r="C1" s="22" t="s">
        <v>1</v>
      </c>
      <c r="D1" s="22" t="s">
        <v>51</v>
      </c>
    </row>
    <row r="2" spans="1:5" ht="40.5" customHeight="1" x14ac:dyDescent="0.25">
      <c r="A2" s="22" t="s">
        <v>3</v>
      </c>
      <c r="B2" s="23">
        <v>1238</v>
      </c>
      <c r="C2" s="22">
        <v>523</v>
      </c>
      <c r="D2" s="22">
        <v>793</v>
      </c>
    </row>
    <row r="3" spans="1:5" ht="48.75" customHeight="1" x14ac:dyDescent="0.25">
      <c r="A3" s="22" t="s">
        <v>47</v>
      </c>
      <c r="B3" s="24">
        <v>181927911.42999998</v>
      </c>
      <c r="C3" s="26">
        <v>58316743.010000013</v>
      </c>
      <c r="D3" s="26">
        <v>55543660.489999987</v>
      </c>
    </row>
    <row r="4" spans="1:5" ht="45.75" customHeight="1" x14ac:dyDescent="0.25">
      <c r="A4" s="27" t="s">
        <v>48</v>
      </c>
      <c r="B4" s="28">
        <v>61218758.940000005</v>
      </c>
      <c r="C4" s="25">
        <v>58316743.010000013</v>
      </c>
      <c r="D4" s="26">
        <v>55543660.489999987</v>
      </c>
    </row>
    <row r="5" spans="1:5" ht="45.75" customHeight="1" x14ac:dyDescent="0.25">
      <c r="A5" s="22" t="s">
        <v>4</v>
      </c>
      <c r="B5" s="22">
        <v>440</v>
      </c>
      <c r="C5" s="22">
        <v>631</v>
      </c>
      <c r="D5" s="22">
        <v>1037</v>
      </c>
    </row>
    <row r="6" spans="1:5" ht="51" customHeight="1" x14ac:dyDescent="0.25">
      <c r="A6" s="22" t="s">
        <v>52</v>
      </c>
      <c r="B6" s="33">
        <f>SUM(B2,B5)</f>
        <v>1678</v>
      </c>
      <c r="C6" s="22">
        <f>SUM(C2,C5)</f>
        <v>1154</v>
      </c>
      <c r="D6" s="22">
        <f>SUM(D2,D5)</f>
        <v>1830</v>
      </c>
    </row>
    <row r="7" spans="1:5" ht="45" customHeight="1" x14ac:dyDescent="0.25">
      <c r="A7" s="22" t="s">
        <v>6</v>
      </c>
      <c r="B7" s="29"/>
      <c r="C7" s="30"/>
      <c r="D7" s="26"/>
      <c r="E7" s="68"/>
    </row>
    <row r="8" spans="1:5" ht="51" customHeight="1" x14ac:dyDescent="0.25">
      <c r="A8" s="27" t="s">
        <v>49</v>
      </c>
      <c r="B8" s="28">
        <v>61218758.940000005</v>
      </c>
      <c r="C8" s="71">
        <v>58316743.010000013</v>
      </c>
      <c r="D8" s="70">
        <v>55543660.489999987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B5"/>
  <sheetViews>
    <sheetView workbookViewId="0"/>
  </sheetViews>
  <sheetFormatPr defaultRowHeight="15" x14ac:dyDescent="0.25"/>
  <cols>
    <col min="1" max="1" width="17.28515625" bestFit="1" customWidth="1"/>
    <col min="2" max="2" width="48" bestFit="1" customWidth="1"/>
  </cols>
  <sheetData>
    <row r="1" spans="1:2" x14ac:dyDescent="0.25">
      <c r="A1" s="83" t="s">
        <v>276</v>
      </c>
      <c r="B1" t="s">
        <v>280</v>
      </c>
    </row>
    <row r="2" spans="1:2" x14ac:dyDescent="0.25">
      <c r="A2" s="84" t="s">
        <v>275</v>
      </c>
      <c r="B2" s="34">
        <v>523</v>
      </c>
    </row>
    <row r="3" spans="1:2" x14ac:dyDescent="0.25">
      <c r="A3" s="84" t="s">
        <v>273</v>
      </c>
      <c r="B3" s="34">
        <v>1239</v>
      </c>
    </row>
    <row r="4" spans="1:2" x14ac:dyDescent="0.25">
      <c r="A4" s="84" t="s">
        <v>274</v>
      </c>
      <c r="B4" s="34">
        <v>793</v>
      </c>
    </row>
    <row r="5" spans="1:2" x14ac:dyDescent="0.25">
      <c r="A5" s="84" t="s">
        <v>277</v>
      </c>
      <c r="B5" s="34">
        <v>2555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B5"/>
  <sheetViews>
    <sheetView workbookViewId="0"/>
  </sheetViews>
  <sheetFormatPr defaultRowHeight="15" x14ac:dyDescent="0.25"/>
  <cols>
    <col min="1" max="1" width="17.28515625" bestFit="1" customWidth="1"/>
    <col min="2" max="2" width="38.28515625" bestFit="1" customWidth="1"/>
  </cols>
  <sheetData>
    <row r="1" spans="1:2" x14ac:dyDescent="0.25">
      <c r="A1" s="83" t="s">
        <v>276</v>
      </c>
      <c r="B1" t="s">
        <v>278</v>
      </c>
    </row>
    <row r="2" spans="1:2" x14ac:dyDescent="0.25">
      <c r="A2" s="84" t="s">
        <v>275</v>
      </c>
      <c r="B2" s="34">
        <v>1154</v>
      </c>
    </row>
    <row r="3" spans="1:2" x14ac:dyDescent="0.25">
      <c r="A3" s="84" t="s">
        <v>273</v>
      </c>
      <c r="B3" s="34">
        <v>1679</v>
      </c>
    </row>
    <row r="4" spans="1:2" x14ac:dyDescent="0.25">
      <c r="A4" s="84" t="s">
        <v>274</v>
      </c>
      <c r="B4" s="34">
        <v>1830</v>
      </c>
    </row>
    <row r="5" spans="1:2" x14ac:dyDescent="0.25">
      <c r="A5" s="84" t="s">
        <v>277</v>
      </c>
      <c r="B5" s="34">
        <v>4663</v>
      </c>
    </row>
  </sheetData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3"/>
  <dimension ref="A1:E13"/>
  <sheetViews>
    <sheetView workbookViewId="0">
      <selection activeCell="A2" sqref="A2:E4"/>
    </sheetView>
  </sheetViews>
  <sheetFormatPr defaultRowHeight="15" x14ac:dyDescent="0.25"/>
  <cols>
    <col min="1" max="1" width="16.7109375" customWidth="1"/>
    <col min="2" max="2" width="34" customWidth="1"/>
    <col min="3" max="3" width="29.42578125" customWidth="1"/>
    <col min="4" max="4" width="29.5703125" customWidth="1"/>
    <col min="5" max="5" width="26.5703125" customWidth="1"/>
  </cols>
  <sheetData>
    <row r="1" spans="1:5" x14ac:dyDescent="0.25">
      <c r="A1" s="75" t="s">
        <v>268</v>
      </c>
      <c r="B1" s="76" t="s">
        <v>269</v>
      </c>
      <c r="C1" s="76" t="s">
        <v>271</v>
      </c>
      <c r="D1" s="76" t="s">
        <v>272</v>
      </c>
      <c r="E1" s="77" t="s">
        <v>270</v>
      </c>
    </row>
    <row r="2" spans="1:5" ht="36.75" customHeight="1" x14ac:dyDescent="0.25">
      <c r="A2" s="79" t="s">
        <v>273</v>
      </c>
      <c r="B2" s="73">
        <v>1239</v>
      </c>
      <c r="C2" s="22">
        <v>440</v>
      </c>
      <c r="D2" s="80">
        <f>SUM(B2,C2)</f>
        <v>1679</v>
      </c>
      <c r="E2" s="74">
        <v>61218758.940000005</v>
      </c>
    </row>
    <row r="3" spans="1:5" ht="38.25" customHeight="1" x14ac:dyDescent="0.25">
      <c r="A3" s="79" t="s">
        <v>274</v>
      </c>
      <c r="B3" s="80">
        <v>793</v>
      </c>
      <c r="C3" s="80">
        <v>1037</v>
      </c>
      <c r="D3" s="80">
        <f>SUM(B3,C3)</f>
        <v>1830</v>
      </c>
      <c r="E3" s="74">
        <v>58316743.010000013</v>
      </c>
    </row>
    <row r="4" spans="1:5" ht="36.75" customHeight="1" x14ac:dyDescent="0.25">
      <c r="A4" s="81" t="s">
        <v>275</v>
      </c>
      <c r="B4" s="82">
        <v>523</v>
      </c>
      <c r="C4" s="82">
        <v>631</v>
      </c>
      <c r="D4" s="82">
        <f>SUM(B4,C4)</f>
        <v>1154</v>
      </c>
      <c r="E4" s="78">
        <v>55543660.489999987</v>
      </c>
    </row>
    <row r="13" spans="1:5" x14ac:dyDescent="0.25">
      <c r="C13" s="72"/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AF6"/>
  <sheetViews>
    <sheetView zoomScale="75" zoomScaleNormal="75" workbookViewId="0">
      <selection sqref="A1:AJ5"/>
    </sheetView>
  </sheetViews>
  <sheetFormatPr defaultRowHeight="15" x14ac:dyDescent="0.25"/>
  <sheetData>
    <row r="1" spans="1:32" ht="21" x14ac:dyDescent="0.35">
      <c r="A1" s="91" t="s">
        <v>284</v>
      </c>
      <c r="B1" s="92"/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92"/>
      <c r="AD1" s="92"/>
      <c r="AE1" s="92"/>
      <c r="AF1" s="92"/>
    </row>
    <row r="2" spans="1:32" ht="21" x14ac:dyDescent="0.35">
      <c r="A2" s="91" t="s">
        <v>288</v>
      </c>
      <c r="B2" s="92"/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  <c r="AB2" s="92"/>
      <c r="AC2" s="92"/>
      <c r="AD2" s="92"/>
      <c r="AE2" s="92"/>
      <c r="AF2" s="92"/>
    </row>
    <row r="3" spans="1:32" ht="21" x14ac:dyDescent="0.35">
      <c r="A3" s="91" t="s">
        <v>285</v>
      </c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92"/>
      <c r="Y3" s="92"/>
      <c r="Z3" s="92"/>
      <c r="AA3" s="92"/>
      <c r="AB3" s="92"/>
      <c r="AC3" s="92"/>
      <c r="AD3" s="92"/>
      <c r="AE3" s="92"/>
      <c r="AF3" s="92"/>
    </row>
    <row r="4" spans="1:32" ht="21" x14ac:dyDescent="0.35">
      <c r="A4" s="91" t="s">
        <v>293</v>
      </c>
      <c r="B4" s="92"/>
      <c r="C4" s="92"/>
      <c r="D4" s="92"/>
      <c r="E4" s="92"/>
      <c r="F4" s="92"/>
      <c r="G4" s="92"/>
      <c r="H4" s="92"/>
      <c r="I4" s="92"/>
      <c r="J4" s="92"/>
      <c r="K4" s="92"/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</row>
    <row r="5" spans="1:32" ht="21" x14ac:dyDescent="0.35">
      <c r="A5" s="91" t="s">
        <v>292</v>
      </c>
      <c r="B5" s="92"/>
      <c r="C5" s="92"/>
      <c r="D5" s="92"/>
      <c r="E5" s="92"/>
      <c r="F5" s="92"/>
      <c r="G5" s="92"/>
      <c r="H5" s="92"/>
      <c r="I5" s="92"/>
      <c r="J5" s="92"/>
      <c r="K5" s="92"/>
      <c r="L5" s="92"/>
      <c r="M5" s="92"/>
      <c r="N5" s="92"/>
      <c r="O5" s="92"/>
      <c r="P5" s="92"/>
      <c r="Q5" s="92"/>
      <c r="R5" s="92"/>
      <c r="S5" s="92"/>
      <c r="T5" s="92"/>
      <c r="U5" s="92"/>
      <c r="V5" s="92"/>
      <c r="W5" s="92"/>
      <c r="X5" s="92"/>
      <c r="Y5" s="92"/>
      <c r="Z5" s="92"/>
      <c r="AA5" s="92"/>
      <c r="AB5" s="92"/>
      <c r="AC5" s="92"/>
      <c r="AD5" s="92"/>
      <c r="AE5" s="92"/>
      <c r="AF5" s="92"/>
    </row>
    <row r="6" spans="1:32" ht="21" x14ac:dyDescent="0.35">
      <c r="A6" s="91"/>
      <c r="B6" s="92"/>
      <c r="C6" s="92"/>
      <c r="D6" s="92"/>
      <c r="E6" s="92"/>
      <c r="F6" s="92"/>
      <c r="G6" s="92"/>
      <c r="H6" s="92"/>
      <c r="I6" s="92"/>
      <c r="J6" s="92"/>
      <c r="K6" s="92"/>
      <c r="L6" s="92"/>
      <c r="M6" s="92"/>
      <c r="N6" s="92"/>
      <c r="O6" s="92"/>
      <c r="P6" s="92"/>
      <c r="Q6" s="92"/>
      <c r="R6" s="92"/>
      <c r="S6" s="92"/>
      <c r="T6" s="92"/>
      <c r="U6" s="92"/>
      <c r="V6" s="92"/>
      <c r="W6" s="92"/>
      <c r="X6" s="92"/>
      <c r="Y6" s="92"/>
      <c r="Z6" s="92"/>
      <c r="AA6" s="92"/>
      <c r="AB6" s="92"/>
      <c r="AC6" s="92"/>
      <c r="AD6" s="92"/>
      <c r="AE6" s="92"/>
      <c r="AF6" s="92"/>
    </row>
  </sheetData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B3:J20"/>
  <sheetViews>
    <sheetView zoomScale="75" zoomScaleNormal="75" workbookViewId="0"/>
  </sheetViews>
  <sheetFormatPr defaultRowHeight="15" x14ac:dyDescent="0.25"/>
  <cols>
    <col min="2" max="2" width="19.7109375" customWidth="1"/>
    <col min="3" max="3" width="35.7109375" customWidth="1"/>
    <col min="4" max="4" width="30.7109375" customWidth="1"/>
    <col min="5" max="5" width="33.28515625" customWidth="1"/>
    <col min="6" max="6" width="22.85546875" customWidth="1"/>
    <col min="7" max="7" width="22.28515625" customWidth="1"/>
    <col min="8" max="8" width="18.5703125" customWidth="1"/>
  </cols>
  <sheetData>
    <row r="3" spans="2:10" x14ac:dyDescent="0.25">
      <c r="B3" s="88" t="s">
        <v>268</v>
      </c>
      <c r="C3" s="88" t="s">
        <v>269</v>
      </c>
      <c r="D3" s="88" t="s">
        <v>281</v>
      </c>
      <c r="E3" s="88" t="s">
        <v>282</v>
      </c>
      <c r="F3" s="88" t="s">
        <v>283</v>
      </c>
      <c r="G3" s="93" t="s">
        <v>286</v>
      </c>
      <c r="H3" s="93" t="s">
        <v>287</v>
      </c>
      <c r="J3" s="88"/>
    </row>
    <row r="4" spans="2:10" x14ac:dyDescent="0.25">
      <c r="B4" s="100" t="s">
        <v>297</v>
      </c>
      <c r="C4">
        <v>1366</v>
      </c>
      <c r="D4">
        <v>484</v>
      </c>
      <c r="E4" s="89">
        <f>SUM(C4,D4)</f>
        <v>1850</v>
      </c>
      <c r="F4" s="86">
        <v>89072202.970000073</v>
      </c>
      <c r="G4" s="86"/>
    </row>
    <row r="5" spans="2:10" x14ac:dyDescent="0.25">
      <c r="B5" s="100" t="s">
        <v>294</v>
      </c>
      <c r="C5">
        <v>523</v>
      </c>
      <c r="D5">
        <v>631</v>
      </c>
      <c r="E5" s="89">
        <f t="shared" ref="E5:E6" si="0">SUM(C5,D5)</f>
        <v>1154</v>
      </c>
      <c r="F5" s="86">
        <v>58000000</v>
      </c>
      <c r="G5" s="86"/>
    </row>
    <row r="6" spans="2:10" x14ac:dyDescent="0.25">
      <c r="B6" s="100" t="s">
        <v>295</v>
      </c>
      <c r="C6">
        <v>793</v>
      </c>
      <c r="D6">
        <v>1037</v>
      </c>
      <c r="E6" s="89">
        <f t="shared" si="0"/>
        <v>1830</v>
      </c>
      <c r="F6" s="86">
        <v>55000000</v>
      </c>
      <c r="G6" s="86"/>
    </row>
    <row r="9" spans="2:10" x14ac:dyDescent="0.25">
      <c r="B9" s="94" t="s">
        <v>268</v>
      </c>
      <c r="C9" s="94" t="s">
        <v>290</v>
      </c>
      <c r="D9" s="94" t="s">
        <v>289</v>
      </c>
      <c r="E9" s="96" t="s">
        <v>291</v>
      </c>
    </row>
    <row r="10" spans="2:10" x14ac:dyDescent="0.25">
      <c r="B10" s="98" t="s">
        <v>297</v>
      </c>
      <c r="C10" s="97">
        <v>841713085.99000001</v>
      </c>
      <c r="D10" s="95">
        <v>930785288.96000004</v>
      </c>
      <c r="E10" s="97">
        <v>9.56</v>
      </c>
    </row>
    <row r="11" spans="2:10" x14ac:dyDescent="0.25">
      <c r="B11" s="99" t="s">
        <v>294</v>
      </c>
      <c r="C11" s="86">
        <v>554663984.53000033</v>
      </c>
      <c r="D11" s="95">
        <v>612663984.53000033</v>
      </c>
      <c r="E11" s="97">
        <v>9.4700000000000006</v>
      </c>
      <c r="F11" s="86"/>
    </row>
    <row r="12" spans="2:10" x14ac:dyDescent="0.25">
      <c r="B12" s="98" t="s">
        <v>296</v>
      </c>
      <c r="C12" s="86">
        <v>858824924.76000023</v>
      </c>
      <c r="D12" s="95">
        <v>612663984.53000033</v>
      </c>
      <c r="E12" s="97">
        <v>6.02</v>
      </c>
    </row>
    <row r="17" spans="2:4" x14ac:dyDescent="0.25">
      <c r="B17" s="84"/>
      <c r="C17" s="87"/>
      <c r="D17" s="86"/>
    </row>
    <row r="18" spans="2:4" x14ac:dyDescent="0.25">
      <c r="B18" s="84"/>
      <c r="C18" s="87"/>
      <c r="D18" s="86"/>
    </row>
    <row r="19" spans="2:4" x14ac:dyDescent="0.25">
      <c r="B19" s="84"/>
      <c r="C19" s="87"/>
      <c r="D19" s="86"/>
    </row>
    <row r="20" spans="2:4" x14ac:dyDescent="0.25">
      <c r="B20" s="84"/>
      <c r="C20" s="87"/>
      <c r="D20" s="86"/>
    </row>
  </sheetData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15</vt:i4>
      </vt:variant>
    </vt:vector>
  </HeadingPairs>
  <TitlesOfParts>
    <vt:vector size="15" baseType="lpstr">
      <vt:lpstr>Итоговые данные</vt:lpstr>
      <vt:lpstr>СЧЕТА И КП ОКТЯБРЬ</vt:lpstr>
      <vt:lpstr>СЧЕТА И КП НОЯБРЬ</vt:lpstr>
      <vt:lpstr>СЧЕТА И КП ДЕКАБРЬ</vt:lpstr>
      <vt:lpstr>Лист7</vt:lpstr>
      <vt:lpstr>СУММА ДЕБИТОРКИ</vt:lpstr>
      <vt:lpstr>ДЕЙСВУЮЩИЕ КП</vt:lpstr>
      <vt:lpstr>Лист1</vt:lpstr>
      <vt:lpstr>Сумма оплаченых счетов</vt:lpstr>
      <vt:lpstr>ЗА ГОД</vt:lpstr>
      <vt:lpstr>Лист8</vt:lpstr>
      <vt:lpstr>Лист9</vt:lpstr>
      <vt:lpstr>ПОДГОТОВКА (2)</vt:lpstr>
      <vt:lpstr>Пояснения к отчету</vt:lpstr>
      <vt:lpstr>Подготовка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revision>1</cp:revision>
  <dcterms:created xsi:type="dcterms:W3CDTF">2006-09-16T00:00:00Z</dcterms:created>
  <dcterms:modified xsi:type="dcterms:W3CDTF">2026-02-05T11:53:28Z</dcterms:modified>
</cp:coreProperties>
</file>